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0935d18e6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kill_Rules" sheetId="1" r:id="R0af89d244ef64dd5"/>
    <x:sheet xmlns:r="http://schemas.openxmlformats.org/officeDocument/2006/relationships" name="01_Facts" sheetId="2" r:id="R302cd76c77604cf1"/>
    <x:sheet xmlns:r="http://schemas.openxmlformats.org/officeDocument/2006/relationships" name="02_Company_Plan" sheetId="3" r:id="R20670c818b2d4973"/>
    <x:sheet xmlns:r="http://schemas.openxmlformats.org/officeDocument/2006/relationships" name="03_Model_Assumptions" sheetId="4" r:id="R5c9105a7a19b4ceb"/>
    <x:sheet xmlns:r="http://schemas.openxmlformats.org/officeDocument/2006/relationships" name="04_Scenario_Engine" sheetId="5" r:id="R42fb225ac7084c38"/>
    <x:sheet xmlns:r="http://schemas.openxmlformats.org/officeDocument/2006/relationships" name="05_Valuation" sheetId="6" r:id="R7d4e4c779dc3410b"/>
    <x:sheet xmlns:r="http://schemas.openxmlformats.org/officeDocument/2006/relationships" name="06_Catalyst_Check" sheetId="7" r:id="Rc6e1fbcde8b44999"/>
    <x:sheet xmlns:r="http://schemas.openxmlformats.org/officeDocument/2006/relationships" name="07_Source_Audit" sheetId="8" r:id="R2f908175862a4cb1"/>
    <x:sheet xmlns:r="http://schemas.openxmlformats.org/officeDocument/2006/relationships" name="08_Dashboard" sheetId="9" r:id="R122a8f1fc74140d2"/>
    <x:sheet xmlns:r="http://schemas.openxmlformats.org/officeDocument/2006/relationships" name="09_Formula_Audit" sheetId="10" r:id="R4a26c6c2b29b4ddc"/>
    <x:sheet xmlns:r="http://schemas.openxmlformats.org/officeDocument/2006/relationships" name="10_Assistant_Runbook" sheetId="11" r:id="R5263b66c365d47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200" formatCode="#,##0;[Red](#,##0);-"/>
    <x:numFmt numFmtId="201" formatCode="0.0000;[Red](0.0000);-"/>
    <x:numFmt numFmtId="202" formatCode="yyyy-mm-dd"/>
    <x:numFmt numFmtId="203" formatCode="0.0%"/>
    <x:numFmt numFmtId="204" formatCode="#,##0"/>
    <x:numFmt numFmtId="205" formatCode="0.0x"/>
    <x:numFmt numFmtId="206" formatCode="$0.0"/>
    <x:numFmt numFmtId="207" formatCode="0.000"/>
    <x:numFmt numFmtId="208" formatCode="$0.000"/>
    <x:numFmt numFmtId="209" formatCode="0.00"/>
    <x:numFmt numFmtId="210" formatCode="0.00;[Red](0.00);-"/>
    <x:numFmt numFmtId="211" formatCode="#,##0&quot;원&quot;"/>
    <x:numFmt numFmtId="212" formatCode="0.0%;[Red](0.0%)"/>
    <x:numFmt numFmtId="213" formatCode="0.000000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4B5563"/>
      <x:name val="Carlito"/>
    </x:font>
    <x:font>
      <x:b/>
      <x:sz val="22"/>
      <x:color rgb="FF0B1F4D"/>
      <x:name val="Carlito"/>
    </x:font>
    <x:font>
      <x:b/>
      <x:sz val="22"/>
      <x:color rgb="FF0F766E"/>
      <x:name val="Carlito"/>
    </x:font>
    <x:font>
      <x:b/>
      <x:sz val="18"/>
      <x:color rgb="FFEA580C"/>
      <x:name val="Carlito"/>
    </x:font>
    <x:font>
      <x:b/>
      <x:sz val="14"/>
      <x:color rgb="FF6D28D9"/>
      <x:name val="Carlito"/>
    </x:font>
    <x:font>
      <x:b/>
      <x:sz val="11"/>
      <x:color rgb="FFEA580C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2"/>
      <x:color rgb="FF0F766E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8F7F5"/>
      </x:patternFill>
    </x:fill>
    <x:fill>
      <x:patternFill patternType="solid">
        <x:fgColor rgb="FF0F766E"/>
      </x:patternFill>
    </x:fill>
    <x:fill>
      <x:patternFill patternType="solid">
        <x:fgColor rgb="FF6D28D9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EA580C"/>
      </x:patternFill>
    </x:fill>
    <x:fill>
      <x:patternFill patternType="solid">
        <x:fgColor rgb="FF4B5563"/>
      </x:patternFill>
    </x:fill>
    <x:fill>
      <x:patternFill patternType="solid">
        <x:fgColor rgb="FFEAF2FF"/>
      </x:patternFill>
    </x:fill>
    <x:fill>
      <x:patternFill patternType="solid">
        <x:fgColor rgb="FFFFF3E8"/>
      </x:patternFill>
    </x:fill>
    <x:fill>
      <x:patternFill patternType="solid">
        <x:fgColor rgb="FFF3E8FF"/>
      </x:patternFill>
    </x:fill>
    <x:fill>
      <x:patternFill patternType="solid">
        <x:fgColor rgb="FF0B1F4D"/>
      </x:patternFill>
    </x:fill>
    <x:fill>
      <x:patternFill patternType="solid">
        <x:fgColor rgb="FF0F766E"/>
      </x:patternFill>
    </x:fill>
    <x:fill>
      <x:patternFill patternType="solid">
        <x:fgColor rgb="FF6D28D9"/>
      </x:patternFill>
    </x:fill>
    <x:fill>
      <x:patternFill patternType="solid">
        <x:fgColor rgb="FFE8F7F5"/>
      </x:patternFill>
    </x:fill>
  </x:fills>
  <x:borders count="2">
    <x:border/>
    <x:border/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2" fontId="5" fillId="6" borderId="0" xfId="0" applyNumberFormat="1" applyFont="1" applyFill="1" applyBorder="1"/>
    <x:xf numFmtId="202" fontId="5" fillId="6" borderId="1" xfId="0" applyNumberFormat="1" applyFont="1" applyFill="1" applyBorder="1"/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204" fontId="5" fillId="6" borderId="0" xfId="0" applyNumberFormat="1" applyFont="1" applyFill="1" applyBorder="1"/>
    <x:xf numFmtId="204" fontId="5" fillId="6" borderId="1" xfId="0" applyNumberFormat="1" applyFont="1" applyFill="1" applyBorder="1"/>
    <x:xf numFmtId="205" fontId="5" fillId="6" borderId="0" xfId="0" applyNumberFormat="1" applyFont="1" applyFill="1" applyBorder="1"/>
    <x:xf numFmtId="205" fontId="5" fillId="6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10" fontId="0" fillId="0" borderId="0" xfId="0" applyNumberFormat="1" applyFont="1" applyFill="1" applyBorder="1"/>
    <x:xf numFmtId="21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9" fontId="2" fillId="0" borderId="0" xfId="0" applyNumberFormat="1" applyFont="1" applyFill="1" applyBorder="1"/>
    <x:xf numFmtId="204" fontId="2" fillId="0" borderId="0" xfId="0" applyNumberFormat="1" applyFont="1" applyFill="1" applyBorder="1"/>
    <x:xf numFmtId="209" fontId="2" fillId="0" borderId="1" xfId="0" applyNumberFormat="1" applyFont="1" applyFill="1" applyBorder="1"/>
    <x:xf numFmtId="204" fontId="2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4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211" fontId="8" fillId="10" borderId="0" xfId="0" applyNumberFormat="1" applyFont="1" applyFill="1" applyBorder="1" applyAlignment="1">
      <x:alignment horizontal="center" vertical="center"/>
    </x:xf>
    <x:xf numFmtId="211" fontId="8" fillId="10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 applyAlignment="1">
      <x:alignment horizontal="center" vertical="center"/>
    </x:xf>
    <x:xf numFmtId="211" fontId="9" fillId="3" borderId="0" xfId="0" applyNumberFormat="1" applyFont="1" applyFill="1" applyBorder="1" applyAlignment="1">
      <x:alignment horizontal="center" vertical="center"/>
    </x:xf>
    <x:xf numFmtId="211" fontId="9" fillId="3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horizontal="center"/>
    </x:xf>
    <x:xf numFmtId="0" fontId="10" fillId="11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wrapText="1"/>
    </x:xf>
    <x:xf numFmtId="0" fontId="11" fillId="12" borderId="1" xfId="0" applyNumberFormat="1" applyFont="1" applyFill="1" applyBorder="1" applyAlignment="1">
      <x:alignment horizontal="center"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212" fontId="0" fillId="0" borderId="0" xfId="0" applyNumberFormat="1" applyFont="1" applyFill="1" applyBorder="1"/>
    <x:xf numFmtId="212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213" fontId="0" fillId="0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1">
    <x:dxf>
      <x:font>
        <x:b/>
        <x:color rgb="FFB91C1C"/>
      </x:font>
      <x:fill>
        <x:patternFill>
          <x:bgColor rgb="FFFDECEC"/>
        </x:patternFill>
      </x:fill>
    </x:dxf>
    <x:dxf>
      <x:font>
        <x:b/>
        <x:color rgb="FF15803D"/>
      </x:font>
      <x:fill>
        <x:patternFill>
          <x:bgColor rgb="FFECFDF3"/>
        </x:patternFill>
      </x:fill>
    </x:dxf>
    <x:dxf>
      <x:fill>
        <x:patternFill>
          <x:bgColor rgb="FFECFDF3"/>
        </x:patternFill>
      </x:fill>
    </x:dxf>
    <x:dxf>
      <x:fill>
        <x:patternFill>
          <x:bgColor rgb="FFECFDF3"/>
        </x:patternFill>
      </x:fill>
    </x:dxf>
    <x:dxf>
      <x:fill>
        <x:patternFill>
          <x:bgColor rgb="FFECFDF3"/>
        </x:patternFill>
      </x:fill>
    </x:dxf>
    <x:dxf>
      <x:font>
        <x:b/>
        <x:color rgb="FF15803D"/>
      </x:font>
      <x:fill>
        <x:patternFill patternType="solid">
          <x:bgColor rgb="FFECFDF3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15803D"/>
      </x:font>
      <x:fill>
        <x:patternFill patternType="solid">
          <x:bgColor rgb="FFECFDF3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15803D"/>
      </x:font>
      <x:fill>
        <x:patternFill patternType="solid">
          <x:bgColor rgb="FFECFDF3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4618e4dae420d" /><Relationship Type="http://schemas.openxmlformats.org/officeDocument/2006/relationships/theme" Target="/xl/theme/theme1.xml" Id="R1cf807e01eaf4d02" /><Relationship Type="http://schemas.openxmlformats.org/officeDocument/2006/relationships/sharedStrings" Target="/xl/sharedStrings.xml" Id="Rfb505e7c0eee4f4a" /><Relationship Type="http://schemas.openxmlformats.org/officeDocument/2006/relationships/worksheet" Target="/xl/worksheets/sheet1.xml" Id="R0af89d244ef64dd5" /><Relationship Type="http://schemas.openxmlformats.org/officeDocument/2006/relationships/worksheet" Target="/xl/worksheets/sheet2.xml" Id="R302cd76c77604cf1" /><Relationship Type="http://schemas.openxmlformats.org/officeDocument/2006/relationships/worksheet" Target="/xl/worksheets/sheet3.xml" Id="R20670c818b2d4973" /><Relationship Type="http://schemas.openxmlformats.org/officeDocument/2006/relationships/worksheet" Target="/xl/worksheets/sheet4.xml" Id="R5c9105a7a19b4ceb" /><Relationship Type="http://schemas.openxmlformats.org/officeDocument/2006/relationships/worksheet" Target="/xl/worksheets/sheet5.xml" Id="R42fb225ac7084c38" /><Relationship Type="http://schemas.openxmlformats.org/officeDocument/2006/relationships/worksheet" Target="/xl/worksheets/sheet6.xml" Id="R7d4e4c779dc3410b" /><Relationship Type="http://schemas.openxmlformats.org/officeDocument/2006/relationships/worksheet" Target="/xl/worksheets/sheet7.xml" Id="Rc6e1fbcde8b44999" /><Relationship Type="http://schemas.openxmlformats.org/officeDocument/2006/relationships/worksheet" Target="/xl/worksheets/sheet8.xml" Id="R2f908175862a4cb1" /><Relationship Type="http://schemas.openxmlformats.org/officeDocument/2006/relationships/worksheet" Target="/xl/worksheets/sheet9.xml" Id="R122a8f1fc74140d2" /><Relationship Type="http://schemas.openxmlformats.org/officeDocument/2006/relationships/worksheet" Target="/xl/worksheets/sheet10.xml" Id="R4a26c6c2b29b4ddc" /><Relationship Type="http://schemas.openxmlformats.org/officeDocument/2006/relationships/worksheet" Target="/xl/worksheets/sheet11.xml" Id="R5263b66c365d47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62" hidden="0" customWidth="1"/>
    <x:col min="4" max="4" width="28" hidden="0" customWidth="1"/>
  </x:cols>
  <x:sheetData>
    <x:row r="1">
      <x:c r="A1" s="3" t="str">
        <x:v>OCI홀딩스 밸류에이션 스킬 v1.0</x:v>
      </x:c>
      <x:c r="B1" s="3"/>
      <x:c r="C1" s="3"/>
      <x:c r="D1" s="3"/>
    </x:row>
    <x:row r="3">
      <x:c r="A3" s="8" t="str">
        <x:v>목적: 현재주가에 맞춰 목표가를 움직이지 않고, 사실 → 회사계획 → 정책 → 가정 → 미래가치 확률반영 순서로 일관되게 산출</x:v>
      </x:c>
      <x:c r="B3" s="8"/>
      <x:c r="C3" s="8"/>
      <x:c r="D3" s="8"/>
    </x:row>
    <x:row r="5">
      <x:c r="A5" s="18" t="str">
        <x:v>번호</x:v>
      </x:c>
      <x:c r="B5" s="18" t="str">
        <x:v>고정 규칙</x:v>
      </x:c>
      <x:c r="C5" s="18" t="str">
        <x:v>의미</x:v>
      </x:c>
      <x:c r="D5" s="18" t="str">
        <x:v>위반 시 처리</x:v>
      </x:c>
    </x:row>
    <x:row r="6">
      <x:c r="A6" s="19" t="n">
        <x:v>1</x:v>
      </x:c>
      <x:c r="B6" s="19" t="str">
        <x:v>현재주가 앵커링 ZERO</x:v>
      </x:c>
      <x:c r="C6" s="19" t="str">
        <x:v>현재주가는 비교용이며 Core/Bull/확률가중 산식에 직접 투입하지 않는다.</x:v>
      </x:c>
      <x:c r="D6" s="19" t="str">
        <x:v>모델 폐기 후 재산출</x:v>
      </x:c>
    </x:row>
    <x:row r="7">
      <x:c r="A7" s="19" t="n">
        <x:v>2</x:v>
      </x:c>
      <x:c r="B7" s="19" t="str">
        <x:v>출처 계층 고정</x:v>
      </x:c>
      <x:c r="C7" s="19" t="str">
        <x:v>실적·공시값 &gt; 회사 공식 IR 계획 &gt; 미국정책 &gt; 외부 참고치 &gt; 모델 가정 순서로 신뢰도를 구분한다.</x:v>
      </x:c>
      <x:c r="D7" s="19" t="str">
        <x:v>출처 라벨 수정</x:v>
      </x:c>
    </x:row>
    <x:row r="8">
      <x:c r="A8" s="19" t="n">
        <x:v>3</x:v>
      </x:c>
      <x:c r="B8" s="19" t="str">
        <x:v>회사계획 ≠ 실현값</x:v>
      </x:c>
      <x:c r="C8" s="19" t="str">
        <x:v>70kMT·11.5GW·LTA 협상 등은 회사 계획으로만 취급한다.</x:v>
      </x:c>
      <x:c r="D8" s="19" t="str">
        <x:v>실현값으로 승격 금지</x:v>
      </x:c>
    </x:row>
    <x:row r="9">
      <x:c r="A9" s="19" t="n">
        <x:v>4</x:v>
      </x:c>
      <x:c r="B9" s="19" t="str">
        <x:v>MIP ≠ OCI ASP</x:v>
      </x:c>
      <x:c r="C9" s="19" t="str">
        <x:v>$21/kg MIP는 수입 가격하한. 말레이시아도 대상이며 OCI 실제 ASP와 분리한다.</x:v>
      </x:c>
      <x:c r="D9" s="19" t="str">
        <x:v>ASP 가정 재검증</x:v>
      </x:c>
    </x:row>
    <x:row r="10">
      <x:c r="A10" s="19" t="n">
        <x:v>5</x:v>
      </x:c>
      <x:c r="B10" s="19" t="str">
        <x:v>폴리/웨이퍼 분리</x:v>
      </x:c>
      <x:c r="C10" s="19" t="str">
        <x:v>TerraSus EBITDA/kg과 NeoSilicon 추가 EBITDA/W를 따로 계산해 이중계산을 막는다.</x:v>
      </x:c>
      <x:c r="D10" s="19" t="str">
        <x:v>해당 시나리오 무효</x:v>
      </x:c>
    </x:row>
    <x:row r="11">
      <x:c r="A11" s="19" t="n">
        <x:v>6</x:v>
      </x:c>
      <x:c r="B11" s="19" t="str">
        <x:v>Gross CAPEX 이중차감 금지</x:v>
      </x:c>
      <x:c r="C11" s="19" t="str">
        <x:v>증설 효과가 2029 EBITDA에 들어가므로 Gross CAPEX를 다시 전액 차감하지 않고 2029 Funding Gap/순차입금으로 반영한다.</x:v>
      </x:c>
      <x:c r="D11" s="19" t="str">
        <x:v>순차입금 재산출</x:v>
      </x:c>
    </x:row>
    <x:row r="12">
      <x:c r="A12" s="19" t="n">
        <x:v>7</x:v>
      </x:c>
      <x:c r="B12" s="19" t="str">
        <x:v>시나리오는 동시 이동</x:v>
      </x:c>
      <x:c r="C12" s="19" t="str">
        <x:v>Bear/Base/Bull에서 가동률·마진·멀티플·할인율·순차입금을 함께 움직인다.</x:v>
      </x:c>
      <x:c r="D12" s="19" t="str">
        <x:v>단일변수 시나리오 금지</x:v>
      </x:c>
    </x:row>
    <x:row r="13">
      <x:c r="A13" s="19" t="n">
        <x:v>8</x:v>
      </x:c>
      <x:c r="B13" s="19" t="str">
        <x:v>미래가치 확률반영</x:v>
      </x:c>
      <x:c r="C13" s="19" t="str">
        <x:v>미확정 정황은 0 또는 100으로 처리하지 않고 확률로 기업가치에 반영한다.</x:v>
      </x:c>
      <x:c r="D13" s="19" t="str">
        <x:v>확률 근거 기록</x:v>
      </x:c>
    </x:row>
    <x:row r="14">
      <x:c r="A14" s="19" t="n">
        <x:v>9</x:v>
      </x:c>
      <x:c r="B14" s="19" t="str">
        <x:v>SpaceX는 별도 옵션</x:v>
      </x:c>
      <x:c r="C14" s="19" t="str">
        <x:v>확정 전에는 계약을 실적값으로 넣지 않고 가동률·마진·멀티플·확률을 통해 옵션가치로 반영한다.</x:v>
      </x:c>
      <x:c r="D14" s="19" t="str">
        <x:v>이중계상 금지</x:v>
      </x:c>
    </x:row>
    <x:row r="15">
      <x:c r="A15" s="19" t="n">
        <x:v>10</x:v>
      </x:c>
      <x:c r="B15" s="19" t="str">
        <x:v>이벤트가 가정을 바꾼다</x:v>
      </x:c>
      <x:c r="C15" s="19" t="str">
        <x:v>MIP 시행 후 ASP, 흑자전환, 35kMT LTA, 선수금 등 검증 이벤트 발생 시에만 가정을 갱신한다.</x:v>
      </x:c>
      <x:c r="D15" s="19" t="str">
        <x:v>변경 로그 필수</x:v>
      </x:c>
    </x:row>
    <x:row r="16">
      <x:c r="A16" s="19" t="n">
        <x:v>11</x:v>
      </x:c>
      <x:c r="B16" s="19" t="str">
        <x:v>모든 숫자는 라벨링</x:v>
      </x:c>
      <x:c r="C16" s="19" t="str">
        <x:v>실적·공시값 / 회사 공식 IR 계획 / 미국정책 / 외부 참고치 / 모델 가정 / 모델 산출값 중 하나를 반드시 붙인다.</x:v>
      </x:c>
      <x:c r="D16" s="19" t="str">
        <x:v>무라벨 숫자 사용 금지</x:v>
      </x:c>
    </x:row>
    <x:row r="17">
      <x:c r="A17" s="19" t="n">
        <x:v>12</x:v>
      </x:c>
      <x:c r="B17" s="19" t="str">
        <x:v>변경 전후 기록</x:v>
      </x:c>
      <x:c r="C17" s="19" t="str">
        <x:v>가정 변경 시 이전값·새값·근거·가치영향을 Audit 시트에 남긴다.</x:v>
      </x:c>
      <x:c r="D17" s="19" t="str">
        <x:v>업데이트 보류</x:v>
      </x:c>
    </x:row>
    <x:row r="18">
      <x:c r="A18" t="n">
        <x:v>13</x:v>
      </x:c>
      <x:c r="B18" t="str">
        <x:v>엑셀 엔진 우선</x:v>
      </x:c>
      <x:c r="C18" t="str">
        <x:v>OCI 밸류 갱신 시 이 파일의 가정/수식을 기준으로 계산하고 임의로 새로운 산식을 만들지 않는다.</x:v>
      </x:c>
      <x:c r="D18" t="str">
        <x:v>파일 버전 갱신 후 재계산</x:v>
      </x:c>
    </x:row>
  </x:sheetData>
  <x:mergeCells>
    <x:mergeCell ref="A1:D1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14" hidden="0" customWidth="1"/>
    <x:col min="5" max="5" width="20" hidden="0" customWidth="1"/>
    <x:col min="6" max="6" width="16" hidden="0" customWidth="1"/>
    <x:col min="7" max="7" width="60" hidden="0" customWidth="1"/>
  </x:cols>
  <x:sheetData>
    <x:row r="1">
      <x:c r="A1" s="22" t="str">
        <x:v>실현·공시값 및 시장 비교값</x:v>
      </x:c>
      <x:c r="B1" s="22"/>
      <x:c r="C1" s="22"/>
      <x:c r="D1" s="22"/>
      <x:c r="E1" s="22"/>
      <x:c r="F1" s="22"/>
      <x:c r="G1" s="22"/>
    </x:row>
    <x:row r="3">
      <x:c r="A3" s="18" t="str">
        <x:v>항목</x:v>
      </x:c>
      <x:c r="B3" s="18" t="str">
        <x:v>값</x:v>
      </x:c>
      <x:c r="C3" s="18" t="str">
        <x:v>단위</x:v>
      </x:c>
      <x:c r="D3" s="18" t="str">
        <x:v>기준일</x:v>
      </x:c>
      <x:c r="E3" s="18" t="str">
        <x:v>라벨</x:v>
      </x:c>
      <x:c r="F3" s="18" t="str">
        <x:v>모델 사용 여부</x:v>
      </x:c>
      <x:c r="G3" s="18" t="str">
        <x:v>출처 URL</x:v>
      </x:c>
    </x:row>
    <x:row r="4">
      <x:c r="A4" s="19" t="str">
        <x:v>현재주가</x:v>
      </x:c>
      <x:c r="B4" s="26" t="n">
        <x:v>279000</x:v>
      </x:c>
      <x:c r="C4" s="19" t="str">
        <x:v>원</x:v>
      </x:c>
      <x:c r="D4" s="19" t="str">
        <x:v>2026-08-14</x:v>
      </x:c>
      <x:c r="E4" s="19" t="str">
        <x:v>시장 비교값</x:v>
      </x:c>
      <x:c r="F4" s="19" t="str">
        <x:v>비교만 사용</x:v>
      </x:c>
      <x:c r="G4" s="19" t="str">
        <x:v>https://www.oci-holdings.co.kr/en/ir/summary</x:v>
      </x:c>
    </x:row>
    <x:row r="5">
      <x:c r="A5" s="19" t="str">
        <x:v>발행주식수</x:v>
      </x:c>
      <x:c r="B5" s="26" t="n">
        <x:v>18670232</x:v>
      </x:c>
      <x:c r="C5" s="19" t="str">
        <x:v>주</x:v>
      </x:c>
      <x:c r="D5" s="19" t="str">
        <x:v>2026-06-30</x:v>
      </x:c>
      <x:c r="E5" s="19" t="str">
        <x:v>실적·공시값</x:v>
      </x:c>
      <x:c r="F5" s="19" t="str">
        <x:v>YES</x:v>
      </x:c>
      <x:c r="G5" s="19" t="str">
        <x:v>https://web-static.oci-holdings.co.kr/ir/2026/07/23/f4747b5a-bf00-416a-8efd-86561f272412.pdf</x:v>
      </x:c>
    </x:row>
    <x:row r="6">
      <x:c r="A6" s="19" t="str">
        <x:v>연결 순차입금</x:v>
      </x:c>
      <x:c r="B6" s="28" t="n">
        <x:v>0.9269</x:v>
      </x:c>
      <x:c r="C6" s="19" t="str">
        <x:v>조원</x:v>
      </x:c>
      <x:c r="D6" s="19" t="str">
        <x:v>2026-06-30</x:v>
      </x:c>
      <x:c r="E6" s="19" t="str">
        <x:v>실적·공시값</x:v>
      </x:c>
      <x:c r="F6" s="19" t="str">
        <x:v>참고</x:v>
      </x:c>
      <x:c r="G6" s="19" t="str">
        <x:v>https://web-static.oci-holdings.co.kr/ir/2026/07/23/f4747b5a-bf00-416a-8efd-86561f272412.pdf</x:v>
      </x:c>
    </x:row>
    <x:row r="7">
      <x:c r="A7" s="19" t="str">
        <x:v>TerraSus 2Q26 영업이익</x:v>
      </x:c>
      <x:c r="B7" s="28" t="n">
        <x:v>-3</x:v>
      </x:c>
      <x:c r="C7" s="19" t="str">
        <x:v>십억원</x:v>
      </x:c>
      <x:c r="D7" s="19" t="str">
        <x:v>2026-Q2</x:v>
      </x:c>
      <x:c r="E7" s="19" t="str">
        <x:v>실적·공시값</x:v>
      </x:c>
      <x:c r="F7" s="19" t="str">
        <x:v>참고</x:v>
      </x:c>
      <x:c r="G7" s="19" t="str">
        <x:v>https://web-static.oci-holdings.co.kr/ir/2026/07/23/f4747b5a-bf00-416a-8efd-86561f272412.pdf</x:v>
      </x:c>
    </x:row>
    <x:row r="8">
      <x:c r="A8" s="19" t="str">
        <x:v>TerraSus 2Q26 매출</x:v>
      </x:c>
      <x:c r="B8" s="24" t="n">
        <x:v>109.3</x:v>
      </x:c>
      <x:c r="C8" s="19" t="str">
        <x:v>십억원</x:v>
      </x:c>
      <x:c r="D8" s="19" t="str">
        <x:v>2026-Q2</x:v>
      </x:c>
      <x:c r="E8" s="19" t="str">
        <x:v>실적·공시값</x:v>
      </x:c>
      <x:c r="F8" s="19" t="str">
        <x:v>참고</x:v>
      </x:c>
      <x:c r="G8" s="19" t="str">
        <x:v>https://web-static.oci-holdings.co.kr/ir/2026/07/23/f4747b5a-bf00-416a-8efd-86561f272412.pdf</x:v>
      </x:c>
    </x:row>
    <x:row r="9">
      <x:c r="A9" s="19" t="str">
        <x:v>Non-China 폴리 가격 Low</x:v>
      </x:c>
      <x:c r="B9" s="24" t="n">
        <x:v>17</x:v>
      </x:c>
      <x:c r="C9" s="19" t="str">
        <x:v>$/kg</x:v>
      </x:c>
      <x:c r="D9" s="19" t="str">
        <x:v>2026-06</x:v>
      </x:c>
      <x:c r="E9" s="19" t="str">
        <x:v>회사 IR 시장자료</x:v>
      </x:c>
      <x:c r="F9" s="19" t="str">
        <x:v>참고</x:v>
      </x:c>
      <x:c r="G9" s="19" t="str">
        <x:v>https://web-static.oci-holdings.co.kr/ir/2026/07/23/f4747b5a-bf00-416a-8efd-86561f272412.pdf</x:v>
      </x:c>
    </x:row>
    <x:row r="10">
      <x:c r="A10" s="19" t="str">
        <x:v>Non-China 폴리 가격 High</x:v>
      </x:c>
      <x:c r="B10" s="24" t="n">
        <x:v>26</x:v>
      </x:c>
      <x:c r="C10" s="19" t="str">
        <x:v>$/kg</x:v>
      </x:c>
      <x:c r="D10" s="19" t="str">
        <x:v>2026-06</x:v>
      </x:c>
      <x:c r="E10" s="19" t="str">
        <x:v>회사 IR 시장자료</x:v>
      </x:c>
      <x:c r="F10" s="19" t="str">
        <x:v>참고</x:v>
      </x:c>
      <x:c r="G10" s="19" t="str">
        <x:v>https://web-static.oci-holdings.co.kr/ir/2026/07/23/f4747b5a-bf00-416a-8efd-86561f272412.pdf</x:v>
      </x:c>
    </x:row>
    <x:row r="11">
      <x:c r="A11" s="19" t="str">
        <x:v>중국 폴리 가격 Low</x:v>
      </x:c>
      <x:c r="B11" s="24" t="n">
        <x:v>4</x:v>
      </x:c>
      <x:c r="C11" s="19" t="str">
        <x:v>$/kg</x:v>
      </x:c>
      <x:c r="D11" s="19" t="str">
        <x:v>2026-06</x:v>
      </x:c>
      <x:c r="E11" s="19" t="str">
        <x:v>회사 IR 시장자료</x:v>
      </x:c>
      <x:c r="F11" s="19" t="str">
        <x:v>참고</x:v>
      </x:c>
      <x:c r="G11" s="19" t="str">
        <x:v>https://web-static.oci-holdings.co.kr/ir/2026/07/23/f4747b5a-bf00-416a-8efd-86561f272412.pdf</x:v>
      </x:c>
    </x:row>
    <x:row r="12">
      <x:c r="A12" s="19" t="str">
        <x:v>중국 폴리 가격 High</x:v>
      </x:c>
      <x:c r="B12" s="24" t="n">
        <x:v>5</x:v>
      </x:c>
      <x:c r="C12" s="19" t="str">
        <x:v>$/kg</x:v>
      </x:c>
      <x:c r="D12" s="19" t="str">
        <x:v>2026-06</x:v>
      </x:c>
      <x:c r="E12" s="19" t="str">
        <x:v>회사 IR 시장자료</x:v>
      </x:c>
      <x:c r="F12" s="19" t="str">
        <x:v>참고</x:v>
      </x:c>
      <x:c r="G12" s="19" t="str">
        <x:v>https://web-static.oci-holdings.co.kr/ir/2026/07/23/f4747b5a-bf00-416a-8efd-86561f272412.pdf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2" hidden="0" customWidth="1"/>
    <x:col min="4" max="4" width="16" hidden="0" customWidth="1"/>
    <x:col min="5" max="5" width="22" hidden="0" customWidth="1"/>
    <x:col min="6" max="6" width="16" hidden="0" customWidth="1"/>
    <x:col min="7" max="7" width="60" hidden="0" customWidth="1"/>
  </x:cols>
  <x:sheetData>
    <x:row r="1">
      <x:c r="A1" s="31" t="str">
        <x:v>회사 공식 IR 계획 — 실현값과 분리</x:v>
      </x:c>
      <x:c r="B1" s="31"/>
      <x:c r="C1" s="31"/>
      <x:c r="D1" s="31"/>
      <x:c r="E1" s="31"/>
      <x:c r="F1" s="31"/>
      <x:c r="G1" s="31"/>
    </x:row>
    <x:row r="3">
      <x:c r="A3" s="36" t="str">
        <x:v>항목</x:v>
      </x:c>
      <x:c r="B3" s="36" t="str">
        <x:v>값</x:v>
      </x:c>
      <x:c r="C3" s="36" t="str">
        <x:v>단위</x:v>
      </x:c>
      <x:c r="D3" s="36" t="str">
        <x:v>목표시점</x:v>
      </x:c>
      <x:c r="E3" s="36" t="str">
        <x:v>라벨</x:v>
      </x:c>
      <x:c r="F3" s="36" t="str">
        <x:v>모델 사용 여부</x:v>
      </x:c>
      <x:c r="G3" s="36" t="str">
        <x:v>출처 URL</x:v>
      </x:c>
    </x:row>
    <x:row r="4">
      <x:c r="A4" s="19" t="str">
        <x:v>TerraSus 현재 Capacity</x:v>
      </x:c>
      <x:c r="B4" s="38" t="n">
        <x:v>35</x:v>
      </x:c>
      <x:c r="C4" s="19" t="str">
        <x:v>kMT</x:v>
      </x:c>
      <x:c r="D4" s="19" t="str">
        <x:v>2026</x:v>
      </x:c>
      <x:c r="E4" s="19" t="str">
        <x:v>회사 공식 IR 계획</x:v>
      </x:c>
      <x:c r="F4" s="19" t="str">
        <x:v>참고</x:v>
      </x:c>
      <x:c r="G4" s="19" t="str">
        <x:v>https://web-static.oci-holdings.co.kr/ir/2026/07/23/f4747b5a-bf00-416a-8efd-86561f272412.pdf</x:v>
      </x:c>
    </x:row>
    <x:row r="5">
      <x:c r="A5" s="19" t="str">
        <x:v>TerraSus 목표 Capacity</x:v>
      </x:c>
      <x:c r="B5" s="38" t="n">
        <x:v>70</x:v>
      </x:c>
      <x:c r="C5" s="19" t="str">
        <x:v>kMT</x:v>
      </x:c>
      <x:c r="D5" s="19" t="str">
        <x:v>2029</x:v>
      </x:c>
      <x:c r="E5" s="19" t="str">
        <x:v>회사 공식 IR 계획</x:v>
      </x:c>
      <x:c r="F5" s="19" t="str">
        <x:v>YES</x:v>
      </x:c>
      <x:c r="G5" s="19" t="str">
        <x:v>https://web-static.oci-holdings.co.kr/ir/2026/07/23/f4747b5a-bf00-416a-8efd-86561f272412.pdf</x:v>
      </x:c>
    </x:row>
    <x:row r="6">
      <x:c r="A6" s="19" t="str">
        <x:v>신규 증설분</x:v>
      </x:c>
      <x:c r="B6" s="38" t="n">
        <x:v>35</x:v>
      </x:c>
      <x:c r="C6" s="19" t="str">
        <x:v>kMT</x:v>
      </x:c>
      <x:c r="D6" s="19" t="str">
        <x:v>2H26 착수</x:v>
      </x:c>
      <x:c r="E6" s="19" t="str">
        <x:v>회사 공식 IR 계획</x:v>
      </x:c>
      <x:c r="F6" s="19" t="str">
        <x:v>YES</x:v>
      </x:c>
      <x:c r="G6" s="19" t="str">
        <x:v>https://web-static.oci-holdings.co.kr/ir/2026/07/23/f4747b5a-bf00-416a-8efd-86561f272412.pdf</x:v>
      </x:c>
    </x:row>
    <x:row r="7">
      <x:c r="A7" s="19" t="str">
        <x:v>기존 Capacity 판매상태</x:v>
      </x:c>
      <x:c r="B7" s="38" t="str">
        <x:v>전량 Sold-out</x:v>
      </x:c>
      <x:c r="C7" s="19" t="str"/>
      <x:c r="D7" s="19" t="str">
        <x:v>2026 IR</x:v>
      </x:c>
      <x:c r="E7" s="19" t="str">
        <x:v>회사 공식 IR 계획</x:v>
      </x:c>
      <x:c r="F7" s="19" t="str">
        <x:v>확률 근거</x:v>
      </x:c>
      <x:c r="G7" s="19" t="str">
        <x:v>https://web-static.oci-holdings.co.kr/ir/2026/07/23/f4747b5a-bf00-416a-8efd-86561f272412.pdf</x:v>
      </x:c>
    </x:row>
    <x:row r="8">
      <x:c r="A8" s="19" t="str">
        <x:v>증설분 판매상태</x:v>
      </x:c>
      <x:c r="B8" s="38" t="str">
        <x:v>추가 LTA 협상중</x:v>
      </x:c>
      <x:c r="C8" s="19" t="str"/>
      <x:c r="D8" s="19" t="str">
        <x:v>2026 IR</x:v>
      </x:c>
      <x:c r="E8" s="19" t="str">
        <x:v>회사 공식 IR 계획</x:v>
      </x:c>
      <x:c r="F8" s="19" t="str">
        <x:v>확률 근거</x:v>
      </x:c>
      <x:c r="G8" s="19" t="str">
        <x:v>https://web-static.oci-holdings.co.kr/ir/2026/07/23/f4747b5a-bf00-416a-8efd-86561f272412.pdf</x:v>
      </x:c>
    </x:row>
    <x:row r="9">
      <x:c r="A9" s="19" t="str">
        <x:v>NeoSilicon Capacity</x:v>
      </x:c>
      <x:c r="B9" s="38" t="n">
        <x:v>2.7</x:v>
      </x:c>
      <x:c r="C9" s="19" t="str">
        <x:v>GW</x:v>
      </x:c>
      <x:c r="D9" s="19" t="str">
        <x:v>2026</x:v>
      </x:c>
      <x:c r="E9" s="19" t="str">
        <x:v>회사 공식 IR 계획</x:v>
      </x:c>
      <x:c r="F9" s="19" t="str">
        <x:v>참고</x:v>
      </x:c>
      <x:c r="G9" s="19" t="str">
        <x:v>https://web-static.oci-holdings.co.kr/ir/2026/07/23/f4747b5a-bf00-416a-8efd-86561f272412.pdf</x:v>
      </x:c>
    </x:row>
    <x:row r="10">
      <x:c r="A10" s="19" t="str">
        <x:v>NeoSilicon Capacity</x:v>
      </x:c>
      <x:c r="B10" s="38" t="n">
        <x:v>7.5</x:v>
      </x:c>
      <x:c r="C10" s="19" t="str">
        <x:v>GW</x:v>
      </x:c>
      <x:c r="D10" s="19" t="str">
        <x:v>2028</x:v>
      </x:c>
      <x:c r="E10" s="19" t="str">
        <x:v>회사 공식 IR 계획</x:v>
      </x:c>
      <x:c r="F10" s="19" t="str">
        <x:v>참고</x:v>
      </x:c>
      <x:c r="G10" s="19" t="str">
        <x:v>https://web-static.oci-holdings.co.kr/ir/2026/07/23/f4747b5a-bf00-416a-8efd-86561f272412.pdf</x:v>
      </x:c>
    </x:row>
    <x:row r="11">
      <x:c r="A11" s="19" t="str">
        <x:v>NeoSilicon 목표 Capacity</x:v>
      </x:c>
      <x:c r="B11" s="38" t="n">
        <x:v>11.5</x:v>
      </x:c>
      <x:c r="C11" s="19" t="str">
        <x:v>GW</x:v>
      </x:c>
      <x:c r="D11" s="19" t="str">
        <x:v>2029</x:v>
      </x:c>
      <x:c r="E11" s="19" t="str">
        <x:v>회사 공식 IR 계획</x:v>
      </x:c>
      <x:c r="F11" s="19" t="str">
        <x:v>YES</x:v>
      </x:c>
      <x:c r="G11" s="19" t="str">
        <x:v>https://web-static.oci-holdings.co.kr/ir/2026/07/23/f4747b5a-bf00-416a-8efd-86561f272412.pdf</x:v>
      </x:c>
    </x:row>
    <x:row r="12">
      <x:c r="A12" s="19" t="str">
        <x:v>NeoSilicon 경제적 지분율</x:v>
      </x:c>
      <x:c r="B12" s="38" t="n">
        <x:v>65</x:v>
      </x:c>
      <x:c r="C12" s="19" t="str">
        <x:v>%</x:v>
      </x:c>
      <x:c r="D12" s="19" t="str">
        <x:v>현재</x:v>
      </x:c>
      <x:c r="E12" s="19" t="str">
        <x:v>회사 공식 IR 계획</x:v>
      </x:c>
      <x:c r="F12" s="19" t="str">
        <x:v>YES</x:v>
      </x:c>
      <x:c r="G12" s="19" t="str">
        <x:v>https://web-static.oci-holdings.co.kr/ir/2026/07/23/f4747b5a-bf00-416a-8efd-86561f272412.pdf</x:v>
      </x:c>
    </x:row>
    <x:row r="13">
      <x:c r="A13" s="19" t="str">
        <x:v>증설 조달방식</x:v>
      </x:c>
      <x:c r="B13" s="38" t="str">
        <x:v>고객 선수금 + 자체자금 + 외부차입</x:v>
      </x:c>
      <x:c r="C13" s="19" t="str"/>
      <x:c r="D13" s="19" t="str">
        <x:v>향후</x:v>
      </x:c>
      <x:c r="E13" s="19" t="str">
        <x:v>회사 공식 IR 계획</x:v>
      </x:c>
      <x:c r="F13" s="19" t="str">
        <x:v>확률 근거</x:v>
      </x:c>
      <x:c r="G13" s="19" t="str">
        <x:v>https://web-static.oci-holdings.co.kr/ir/2026/07/23/f4747b5a-bf00-416a-8efd-86561f272412.pdf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22" hidden="0" customWidth="1"/>
    <x:col min="5" max="5" width="3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1" t="str">
        <x:v>모델 가정 — 파란/노란 입력값만 수정하면 전체 가치 자동 재산출</x:v>
      </x:c>
      <x:c r="B1" s="41"/>
      <x:c r="C1" s="41"/>
      <x:c r="D1" s="41"/>
      <x:c r="E1" s="41"/>
      <x:c r="F1" s="41"/>
      <x:c r="G1" s="41"/>
      <x:c r="H1" s="41"/>
      <x:c r="I1" s="41"/>
    </x:row>
    <x:row r="3">
      <x:c r="A3" s="14" t="str">
        <x:v>공통 가정</x:v>
      </x:c>
      <x:c r="B3" s="14" t="str">
        <x:v>값</x:v>
      </x:c>
      <x:c r="C3" s="14" t="str">
        <x:v>단위</x:v>
      </x:c>
      <x:c r="D3" s="14" t="str">
        <x:v>라벨</x:v>
      </x:c>
      <x:c r="F3" s="14" t="str">
        <x:v>가정 항목</x:v>
      </x:c>
      <x:c r="G3" s="14" t="str">
        <x:v>Bear</x:v>
      </x:c>
      <x:c r="H3" s="14" t="str">
        <x:v>Base</x:v>
      </x:c>
      <x:c r="I3" s="14" t="str">
        <x:v>Bull</x:v>
      </x:c>
    </x:row>
    <x:row r="4">
      <x:c r="A4" t="str">
        <x:v>Valuation Date</x:v>
      </x:c>
      <x:c r="B4" s="48" t="n">
        <x:v>46248</x:v>
      </x:c>
      <x:c r="C4" t="str">
        <x:v>date</x:v>
      </x:c>
      <x:c r="D4" t="str">
        <x:v>모델 가정</x:v>
      </x:c>
      <x:c r="F4" t="str">
        <x:v>Poly 실제 ASP ($/kg)</x:v>
      </x:c>
      <x:c r="G4" s="46" t="n">
        <x:v>17.5</x:v>
      </x:c>
      <x:c r="H4" s="46" t="n">
        <x:v>19.5</x:v>
      </x:c>
      <x:c r="I4" s="46" t="n">
        <x:v>22</x:v>
      </x:c>
    </x:row>
    <x:row r="5">
      <x:c r="A5" t="str">
        <x:v>Terminal Date</x:v>
      </x:c>
      <x:c r="B5" s="48" t="n">
        <x:v>47483</x:v>
      </x:c>
      <x:c r="C5" t="str">
        <x:v>date</x:v>
      </x:c>
      <x:c r="D5" t="str">
        <x:v>모델 가정</x:v>
      </x:c>
      <x:c r="F5" t="str">
        <x:v>Poly 가동률</x:v>
      </x:c>
      <x:c r="G5" s="50" t="n">
        <x:v>0.82</x:v>
      </x:c>
      <x:c r="H5" s="50" t="n">
        <x:v>0.9</x:v>
      </x:c>
      <x:c r="I5" s="50" t="n">
        <x:v>0.95</x:v>
      </x:c>
    </x:row>
    <x:row r="6">
      <x:c r="A6" t="str">
        <x:v>환율</x:v>
      </x:c>
      <x:c r="B6" s="46" t="n">
        <x:v>1420</x:v>
      </x:c>
      <x:c r="C6" t="str">
        <x:v>KRW/USD</x:v>
      </x:c>
      <x:c r="D6" t="str">
        <x:v>모델 가정</x:v>
      </x:c>
      <x:c r="F6" t="str">
        <x:v>Poly EV/EBITDA</x:v>
      </x:c>
      <x:c r="G6" s="54" t="n">
        <x:v>4.5</x:v>
      </x:c>
      <x:c r="H6" s="54" t="n">
        <x:v>5.5</x:v>
      </x:c>
      <x:c r="I6" s="54" t="n">
        <x:v>6.5</x:v>
      </x:c>
    </x:row>
    <x:row r="7">
      <x:c r="A7" t="str">
        <x:v>MIP</x:v>
      </x:c>
      <x:c r="B7" s="46" t="n">
        <x:v>21</x:v>
      </x:c>
      <x:c r="C7" t="str">
        <x:v>$/kg</x:v>
      </x:c>
      <x:c r="D7" t="str">
        <x:v>미국정책</x:v>
      </x:c>
      <x:c r="F7" t="str">
        <x:v>Wafer 가동률</x:v>
      </x:c>
      <x:c r="G7" s="50" t="n">
        <x:v>0.8</x:v>
      </x:c>
      <x:c r="H7" s="50" t="n">
        <x:v>0.9</x:v>
      </x:c>
      <x:c r="I7" s="50" t="n">
        <x:v>0.95</x:v>
      </x:c>
    </x:row>
    <x:row r="8">
      <x:c r="A8" t="str">
        <x:v>폴리 정상 현금원가</x:v>
      </x:c>
      <x:c r="B8" s="46" t="n">
        <x:v>11.5</x:v>
      </x:c>
      <x:c r="C8" t="str">
        <x:v>$/kg</x:v>
      </x:c>
      <x:c r="D8" t="str">
        <x:v>외부 참고치/모델 가정</x:v>
      </x:c>
      <x:c r="F8" t="str">
        <x:v>Wafer 추가 EBITDA/W ($)</x:v>
      </x:c>
      <x:c r="G8" s="46" t="n">
        <x:v>0.008</x:v>
      </x:c>
      <x:c r="H8" s="46" t="n">
        <x:v>0.015</x:v>
      </x:c>
      <x:c r="I8" s="46" t="n">
        <x:v>0.02</x:v>
      </x:c>
    </x:row>
    <x:row r="9">
      <x:c r="A9" t="str">
        <x:v>기타 현금비용·EBITDA 조정</x:v>
      </x:c>
      <x:c r="B9" s="46" t="n">
        <x:v>1</x:v>
      </x:c>
      <x:c r="C9" t="str">
        <x:v>$/kg</x:v>
      </x:c>
      <x:c r="D9" t="str">
        <x:v>모델 가정</x:v>
      </x:c>
      <x:c r="F9" t="str">
        <x:v>Wafer EV/EBITDA</x:v>
      </x:c>
      <x:c r="G9" s="54" t="n">
        <x:v>5</x:v>
      </x:c>
      <x:c r="H9" s="54" t="n">
        <x:v>6</x:v>
      </x:c>
      <x:c r="I9" s="54" t="n">
        <x:v>7</x:v>
      </x:c>
    </x:row>
    <x:row r="10">
      <x:c r="A10" t="str">
        <x:v>Poly Capacity</x:v>
      </x:c>
      <x:c r="B10" s="46" t="n">
        <x:v>70</x:v>
      </x:c>
      <x:c r="C10" t="str">
        <x:v>kMT</x:v>
      </x:c>
      <x:c r="D10" t="str">
        <x:v>회사 공식 IR 계획</x:v>
      </x:c>
      <x:c r="F10" t="str">
        <x:v>할인율</x:v>
      </x:c>
      <x:c r="G10" s="50" t="n">
        <x:v>0.12</x:v>
      </x:c>
      <x:c r="H10" s="50" t="n">
        <x:v>0.105</x:v>
      </x:c>
      <x:c r="I10" s="50" t="n">
        <x:v>0.095</x:v>
      </x:c>
    </x:row>
    <x:row r="11">
      <x:c r="A11" t="str">
        <x:v>Wafer Capacity</x:v>
      </x:c>
      <x:c r="B11" s="46" t="n">
        <x:v>11.5</x:v>
      </x:c>
      <x:c r="C11" t="str">
        <x:v>GW</x:v>
      </x:c>
      <x:c r="D11" t="str">
        <x:v>회사 공식 IR 계획</x:v>
      </x:c>
      <x:c r="F11" t="str">
        <x:v>2029 순차입금 (조원)</x:v>
      </x:c>
      <x:c r="G11" s="46" t="n">
        <x:v>1.6</x:v>
      </x:c>
      <x:c r="H11" s="46" t="n">
        <x:v>1.3</x:v>
      </x:c>
      <x:c r="I11" s="46" t="n">
        <x:v>1</x:v>
      </x:c>
    </x:row>
    <x:row r="12">
      <x:c r="A12" t="str">
        <x:v>NeoSilicon 경제적 지분</x:v>
      </x:c>
      <x:c r="B12" s="50" t="n">
        <x:v>0.65</x:v>
      </x:c>
      <x:c r="C12" t="str">
        <x:v>%</x:v>
      </x:c>
      <x:c r="D12" t="str">
        <x:v>회사 공식 IR 계획</x:v>
      </x:c>
      <x:c r="F12" t="str">
        <x:v>기타 사업 현재가치 (조원)</x:v>
      </x:c>
      <x:c r="G12" s="46" t="n">
        <x:v>1.9</x:v>
      </x:c>
      <x:c r="H12" s="46" t="n">
        <x:v>2.4</x:v>
      </x:c>
      <x:c r="I12" s="46" t="n">
        <x:v>3</x:v>
      </x:c>
    </x:row>
    <x:row r="13">
      <x:c r="A13" t="str">
        <x:v>발행주식수</x:v>
      </x:c>
      <x:c r="B13" s="52" t="n">
        <x:v>18670232</x:v>
      </x:c>
      <x:c r="C13" t="str">
        <x:v>주</x:v>
      </x:c>
      <x:c r="D13" t="str">
        <x:v>실적·공시값</x:v>
      </x:c>
    </x:row>
    <x:row r="14">
      <x:c r="F14" s="56" t="str">
        <x:v>AI/Space 옵션 가정</x:v>
      </x:c>
      <x:c r="G14" s="56" t="str">
        <x:v>값</x:v>
      </x:c>
      <x:c r="H14" s="56" t="str">
        <x:v>단위</x:v>
      </x:c>
      <x:c r="I14" s="56" t="str">
        <x:v>라벨</x:v>
      </x:c>
    </x:row>
    <x:row r="15">
      <x:c r="F15" t="str">
        <x:v>Poly 실제 ASP</x:v>
      </x:c>
      <x:c r="G15" s="46" t="n">
        <x:v>23.5</x:v>
      </x:c>
      <x:c r="H15" t="str">
        <x:v>$/kg</x:v>
      </x:c>
      <x:c r="I15" t="str">
        <x:v>모델 가정</x:v>
      </x:c>
    </x:row>
    <x:row r="16">
      <x:c r="A16" s="14" t="str">
        <x:v>시나리오 확률</x:v>
      </x:c>
      <x:c r="B16" s="14" t="str">
        <x:v>확률</x:v>
      </x:c>
      <x:c r="C16" s="14" t="str">
        <x:v>합계검증</x:v>
      </x:c>
      <x:c r="D16" s="14" t="str">
        <x:v>라벨</x:v>
      </x:c>
      <x:c r="F16" t="str">
        <x:v>Poly 가동률</x:v>
      </x:c>
      <x:c r="G16" s="50" t="n">
        <x:v>0.97</x:v>
      </x:c>
      <x:c r="H16" t="str">
        <x:v>%</x:v>
      </x:c>
      <x:c r="I16" t="str">
        <x:v>모델 가정</x:v>
      </x:c>
    </x:row>
    <x:row r="17">
      <x:c r="A17" t="str">
        <x:v>Reset / Bear</x:v>
      </x:c>
      <x:c r="B17" s="50" t="n">
        <x:v>0.15</x:v>
      </x:c>
      <x:c r="C17" s="58" t="n">
        <x:f>SUM($B$17:$B$20)</x:f>
        <x:v>1</x:v>
      </x:c>
      <x:c r="D17" t="str">
        <x:v>모델 가정</x:v>
      </x:c>
      <x:c r="F17" t="str">
        <x:v>Poly EV/EBITDA</x:v>
      </x:c>
      <x:c r="G17" s="54" t="n">
        <x:v>7</x:v>
      </x:c>
      <x:c r="H17" t="str">
        <x:v>x</x:v>
      </x:c>
      <x:c r="I17" t="str">
        <x:v>모델 가정</x:v>
      </x:c>
    </x:row>
    <x:row r="18">
      <x:c r="A18" t="str">
        <x:v>Core execution / Base</x:v>
      </x:c>
      <x:c r="B18" s="50" t="n">
        <x:v>0.5</x:v>
      </x:c>
      <x:c r="C18"/>
      <x:c r="D18" t="str">
        <x:v>모델 가정</x:v>
      </x:c>
      <x:c r="F18" t="str">
        <x:v>Wafer 가동률</x:v>
      </x:c>
      <x:c r="G18" s="50" t="n">
        <x:v>0.97</x:v>
      </x:c>
      <x:c r="H18" t="str">
        <x:v>%</x:v>
      </x:c>
      <x:c r="I18" t="str">
        <x:v>모델 가정</x:v>
      </x:c>
    </x:row>
    <x:row r="19">
      <x:c r="A19" t="str">
        <x:v>Scarcity / Bull</x:v>
      </x:c>
      <x:c r="B19" s="50" t="n">
        <x:v>0.25</x:v>
      </x:c>
      <x:c r="C19"/>
      <x:c r="D19" t="str">
        <x:v>모델 가정</x:v>
      </x:c>
      <x:c r="F19" t="str">
        <x:v>Wafer 추가 EBITDA/W</x:v>
      </x:c>
      <x:c r="G19" s="46" t="n">
        <x:v>0.022</x:v>
      </x:c>
      <x:c r="H19" t="str">
        <x:v>$/W</x:v>
      </x:c>
      <x:c r="I19" t="str">
        <x:v>모델 가정</x:v>
      </x:c>
    </x:row>
    <x:row r="20">
      <x:c r="A20" t="str">
        <x:v>AI/Space breakout</x:v>
      </x:c>
      <x:c r="B20" s="50" t="n">
        <x:v>0.1</x:v>
      </x:c>
      <x:c r="C20"/>
      <x:c r="D20" t="str">
        <x:v>모델 가정</x:v>
      </x:c>
      <x:c r="F20" t="str">
        <x:v>Wafer EV/EBITDA</x:v>
      </x:c>
      <x:c r="G20" s="54" t="n">
        <x:v>7.5</x:v>
      </x:c>
      <x:c r="H20" t="str">
        <x:v>x</x:v>
      </x:c>
      <x:c r="I20" t="str">
        <x:v>모델 가정</x:v>
      </x:c>
    </x:row>
    <x:row r="21">
      <x:c r="F21" t="str">
        <x:v>할인율</x:v>
      </x:c>
      <x:c r="G21" s="50" t="n">
        <x:v>0.09</x:v>
      </x:c>
      <x:c r="H21" t="str">
        <x:v>%</x:v>
      </x:c>
      <x:c r="I21" t="str">
        <x:v>모델 가정</x:v>
      </x:c>
    </x:row>
    <x:row r="22">
      <x:c r="F22" t="str">
        <x:v>2029 순차입금</x:v>
      </x:c>
      <x:c r="G22" s="46" t="n">
        <x:v>0.9</x:v>
      </x:c>
      <x:c r="H22" t="str">
        <x:v>조원</x:v>
      </x:c>
      <x:c r="I22" t="str">
        <x:v>모델 가정</x:v>
      </x:c>
    </x:row>
    <x:row r="23">
      <x:c r="F23" t="str">
        <x:v>기타 사업 현재가치</x:v>
      </x:c>
      <x:c r="G23" s="46" t="n">
        <x:v>3.2</x:v>
      </x:c>
      <x:c r="H23" t="str">
        <x:v>조원</x:v>
      </x:c>
      <x:c r="I23" t="str">
        <x:v>모델 가정</x:v>
      </x:c>
    </x:row>
  </x:sheetData>
  <x:mergeCells>
    <x:mergeCell ref="A1:I1"/>
  </x:mergeCells>
  <x:conditionalFormatting sqref="C17:C17">
    <x:cfRule type="expression" dxfId="0" priority="1">
      <x:formula>ABS(C17-1)&gt;0.0001</x:formula>
    </x:cfRule>
    <x:cfRule type="expression" dxfId="1" priority="2">
      <x:formula>ABS(C17-1)&lt;=0.0001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4" hidden="0" customWidth="1"/>
    <x:col min="14" max="14" width="10" hidden="0" customWidth="1"/>
    <x:col min="15" max="15" width="18" hidden="0" customWidth="1"/>
    <x:col min="16" max="16" width="14" hidden="0" customWidth="1"/>
  </x:cols>
  <x:sheetData>
    <x:row r="1">
      <x:c r="A1" s="22" t="str">
        <x:v>시나리오 엔진 — 현재주가 미사용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14" t="str">
        <x:v>시나리오</x:v>
      </x:c>
      <x:c r="B3" s="14" t="str">
        <x:v>확률</x:v>
      </x:c>
      <x:c r="C3" s="14" t="str">
        <x:v>ASP</x:v>
      </x:c>
      <x:c r="D3" s="14" t="str">
        <x:v>현금원가</x:v>
      </x:c>
      <x:c r="E3" s="14" t="str">
        <x:v>기타비용</x:v>
      </x:c>
      <x:c r="F3" s="14" t="str">
        <x:v>EBITDA/kg</x:v>
      </x:c>
      <x:c r="G3" s="14" t="str">
        <x:v>Poly 가동률</x:v>
      </x:c>
      <x:c r="H3" s="14" t="str">
        <x:v>Poly EBITDA(조)</x:v>
      </x:c>
      <x:c r="I3" s="14" t="str">
        <x:v>Poly Multiple</x:v>
      </x:c>
      <x:c r="J3" s="14" t="str">
        <x:v>Wafer 가동률</x:v>
      </x:c>
      <x:c r="K3" s="14" t="str">
        <x:v>Wafer EBITDA/W</x:v>
      </x:c>
      <x:c r="L3" s="14" t="str">
        <x:v>Wafer EBITDA(조)</x:v>
      </x:c>
      <x:c r="M3" s="14" t="str">
        <x:v>Wafer Multiple</x:v>
      </x:c>
      <x:c r="N3" s="14" t="str">
        <x:v>할인율</x:v>
      </x:c>
      <x:c r="O3" s="14" t="str">
        <x:v>2029 순차입금(조)</x:v>
      </x:c>
      <x:c r="P3" s="14" t="str">
        <x:v>기타사업(조)</x:v>
      </x:c>
    </x:row>
    <x:row r="4">
      <x:c r="A4" t="str">
        <x:v>Bear</x:v>
      </x:c>
      <x:c r="B4" s="58" t="n">
        <x:f>'03_Model_Assumptions'!B17</x:f>
        <x:v>0.15</x:v>
      </x:c>
      <x:c r="C4" s="60" t="n">
        <x:f>'03_Model_Assumptions'!G4</x:f>
        <x:v>17.5</x:v>
      </x:c>
      <x:c r="D4" s="60" t="n">
        <x:f>'03_Model_Assumptions'!$B$8</x:f>
        <x:v>11.5</x:v>
      </x:c>
      <x:c r="E4" s="60" t="n">
        <x:f>'03_Model_Assumptions'!$B$9</x:f>
        <x:v>1</x:v>
      </x:c>
      <x:c r="F4" s="60" t="n">
        <x:f>C4-D4-E4</x:f>
        <x:v>5</x:v>
      </x:c>
      <x:c r="G4" s="58" t="n">
        <x:f>'03_Model_Assumptions'!G5</x:f>
        <x:v>0.82</x:v>
      </x:c>
      <x:c r="H4" s="62" t="n">
        <x:f>'03_Model_Assumptions'!$B$10*1000000*G4*F4*'03_Model_Assumptions'!$B$6/1000000000000</x:f>
        <x:v>0.40754</x:v>
      </x:c>
      <x:c r="I4" s="64" t="n">
        <x:f>'03_Model_Assumptions'!G6</x:f>
        <x:v>4.5</x:v>
      </x:c>
      <x:c r="J4" s="58" t="n">
        <x:f>'03_Model_Assumptions'!G7</x:f>
        <x:v>0.8</x:v>
      </x:c>
      <x:c r="K4" s="66" t="n">
        <x:f>'03_Model_Assumptions'!G8</x:f>
        <x:v>0.008</x:v>
      </x:c>
      <x:c r="L4" s="62" t="n">
        <x:f>'03_Model_Assumptions'!$B$11*1000000000*J4*K4*'03_Model_Assumptions'!$B$6*'03_Model_Assumptions'!$B$12/1000000000000</x:f>
        <x:v>0.0679328</x:v>
      </x:c>
      <x:c r="M4" s="64" t="n">
        <x:f>'03_Model_Assumptions'!G9</x:f>
        <x:v>5</x:v>
      </x:c>
      <x:c r="N4" s="58" t="n">
        <x:f>'03_Model_Assumptions'!G10</x:f>
        <x:v>0.12</x:v>
      </x:c>
      <x:c r="O4" s="68" t="n">
        <x:f>'03_Model_Assumptions'!G11</x:f>
        <x:v>1.6</x:v>
      </x:c>
      <x:c r="P4" s="68" t="n">
        <x:f>'03_Model_Assumptions'!G12</x:f>
        <x:v>1.9</x:v>
      </x:c>
    </x:row>
    <x:row r="5">
      <x:c r="A5" t="str">
        <x:v>Base</x:v>
      </x:c>
      <x:c r="B5" s="58" t="n">
        <x:f>'03_Model_Assumptions'!B18</x:f>
        <x:v>0.5</x:v>
      </x:c>
      <x:c r="C5" s="60" t="n">
        <x:f>'03_Model_Assumptions'!H4</x:f>
        <x:v>19.5</x:v>
      </x:c>
      <x:c r="D5" s="60" t="n">
        <x:f>'03_Model_Assumptions'!$B$8</x:f>
        <x:v>11.5</x:v>
      </x:c>
      <x:c r="E5" s="60" t="n">
        <x:f>'03_Model_Assumptions'!$B$9</x:f>
        <x:v>1</x:v>
      </x:c>
      <x:c r="F5" s="60" t="n">
        <x:f>C5-D5-E5</x:f>
        <x:v>7</x:v>
      </x:c>
      <x:c r="G5" s="58" t="n">
        <x:f>'03_Model_Assumptions'!H5</x:f>
        <x:v>0.9</x:v>
      </x:c>
      <x:c r="H5" s="62" t="n">
        <x:f>'03_Model_Assumptions'!$B$10*1000000*G5*F5*'03_Model_Assumptions'!$B$6/1000000000000</x:f>
        <x:v>0.62622</x:v>
      </x:c>
      <x:c r="I5" s="64" t="n">
        <x:f>'03_Model_Assumptions'!H6</x:f>
        <x:v>5.5</x:v>
      </x:c>
      <x:c r="J5" s="58" t="n">
        <x:f>'03_Model_Assumptions'!H7</x:f>
        <x:v>0.9</x:v>
      </x:c>
      <x:c r="K5" s="66" t="n">
        <x:f>'03_Model_Assumptions'!H8</x:f>
        <x:v>0.015</x:v>
      </x:c>
      <x:c r="L5" s="62" t="n">
        <x:f>'03_Model_Assumptions'!$B$11*1000000000*J5*K5*'03_Model_Assumptions'!$B$6*'03_Model_Assumptions'!$B$12/1000000000000</x:f>
        <x:v>0.14329575</x:v>
      </x:c>
      <x:c r="M5" s="64" t="n">
        <x:f>'03_Model_Assumptions'!H9</x:f>
        <x:v>6</x:v>
      </x:c>
      <x:c r="N5" s="58" t="n">
        <x:f>'03_Model_Assumptions'!H10</x:f>
        <x:v>0.105</x:v>
      </x:c>
      <x:c r="O5" s="68" t="n">
        <x:f>'03_Model_Assumptions'!H11</x:f>
        <x:v>1.3</x:v>
      </x:c>
      <x:c r="P5" s="68" t="n">
        <x:f>'03_Model_Assumptions'!H12</x:f>
        <x:v>2.4</x:v>
      </x:c>
    </x:row>
    <x:row r="6">
      <x:c r="A6" t="str">
        <x:v>Bull</x:v>
      </x:c>
      <x:c r="B6" s="58" t="n">
        <x:f>'03_Model_Assumptions'!B19</x:f>
        <x:v>0.25</x:v>
      </x:c>
      <x:c r="C6" s="60" t="n">
        <x:f>'03_Model_Assumptions'!I4</x:f>
        <x:v>22</x:v>
      </x:c>
      <x:c r="D6" s="60" t="n">
        <x:f>'03_Model_Assumptions'!$B$8</x:f>
        <x:v>11.5</x:v>
      </x:c>
      <x:c r="E6" s="60" t="n">
        <x:f>'03_Model_Assumptions'!$B$9</x:f>
        <x:v>1</x:v>
      </x:c>
      <x:c r="F6" s="60" t="n">
        <x:f>C6-D6-E6</x:f>
        <x:v>9.5</x:v>
      </x:c>
      <x:c r="G6" s="58" t="n">
        <x:f>'03_Model_Assumptions'!I5</x:f>
        <x:v>0.95</x:v>
      </x:c>
      <x:c r="H6" s="62" t="n">
        <x:f>'03_Model_Assumptions'!$B$10*1000000*G6*F6*'03_Model_Assumptions'!$B$6/1000000000000</x:f>
        <x:v>0.897085</x:v>
      </x:c>
      <x:c r="I6" s="64" t="n">
        <x:f>'03_Model_Assumptions'!I6</x:f>
        <x:v>6.5</x:v>
      </x:c>
      <x:c r="J6" s="58" t="n">
        <x:f>'03_Model_Assumptions'!I7</x:f>
        <x:v>0.95</x:v>
      </x:c>
      <x:c r="K6" s="66" t="n">
        <x:f>'03_Model_Assumptions'!I8</x:f>
        <x:v>0.02</x:v>
      </x:c>
      <x:c r="L6" s="62" t="n">
        <x:f>'03_Model_Assumptions'!$B$11*1000000000*J6*K6*'03_Model_Assumptions'!$B$6*'03_Model_Assumptions'!$B$12/1000000000000</x:f>
        <x:v>0.2016755</x:v>
      </x:c>
      <x:c r="M6" s="64" t="n">
        <x:f>'03_Model_Assumptions'!I9</x:f>
        <x:v>7</x:v>
      </x:c>
      <x:c r="N6" s="58" t="n">
        <x:f>'03_Model_Assumptions'!I10</x:f>
        <x:v>0.095</x:v>
      </x:c>
      <x:c r="O6" s="68" t="n">
        <x:f>'03_Model_Assumptions'!I11</x:f>
        <x:v>1</x:v>
      </x:c>
      <x:c r="P6" s="68" t="n">
        <x:f>'03_Model_Assumptions'!I12</x:f>
        <x:v>3</x:v>
      </x:c>
    </x:row>
    <x:row r="7">
      <x:c r="A7" t="str">
        <x:v>AI/Space</x:v>
      </x:c>
      <x:c r="B7" s="58" t="n">
        <x:f>'03_Model_Assumptions'!B20</x:f>
        <x:v>0.1</x:v>
      </x:c>
      <x:c r="C7" s="60" t="n">
        <x:f>'03_Model_Assumptions'!G15</x:f>
        <x:v>23.5</x:v>
      </x:c>
      <x:c r="D7" s="60" t="n">
        <x:f>'03_Model_Assumptions'!$B$8</x:f>
        <x:v>11.5</x:v>
      </x:c>
      <x:c r="E7" s="60" t="n">
        <x:f>'03_Model_Assumptions'!$B$9</x:f>
        <x:v>1</x:v>
      </x:c>
      <x:c r="F7" s="60" t="n">
        <x:f>C7-D7-E7</x:f>
        <x:v>11</x:v>
      </x:c>
      <x:c r="G7" s="58" t="n">
        <x:f>'03_Model_Assumptions'!G16</x:f>
        <x:v>0.97</x:v>
      </x:c>
      <x:c r="H7" s="62" t="n">
        <x:f>'03_Model_Assumptions'!$B$10*1000000*G7*F7*'03_Model_Assumptions'!$B$6/1000000000000</x:f>
        <x:v>1.060598</x:v>
      </x:c>
      <x:c r="I7" s="64" t="n">
        <x:f>'03_Model_Assumptions'!G17</x:f>
        <x:v>7</x:v>
      </x:c>
      <x:c r="J7" s="58" t="n">
        <x:f>'03_Model_Assumptions'!G18</x:f>
        <x:v>0.97</x:v>
      </x:c>
      <x:c r="K7" s="66" t="n">
        <x:f>'03_Model_Assumptions'!G19</x:f>
        <x:v>0.022</x:v>
      </x:c>
      <x:c r="L7" s="62" t="n">
        <x:f>'03_Model_Assumptions'!$B$11*1000000000*J7*K7*'03_Model_Assumptions'!$B$6*'03_Model_Assumptions'!$B$12/1000000000000</x:f>
        <x:v>0.22651343</x:v>
      </x:c>
      <x:c r="M7" s="64" t="n">
        <x:f>'03_Model_Assumptions'!G20</x:f>
        <x:v>7.5</x:v>
      </x:c>
      <x:c r="N7" s="58" t="n">
        <x:f>'03_Model_Assumptions'!G21</x:f>
        <x:v>0.09</x:v>
      </x:c>
      <x:c r="O7" s="68" t="n">
        <x:f>'03_Model_Assumptions'!G22</x:f>
        <x:v>0.9</x:v>
      </x:c>
      <x:c r="P7" s="68" t="n">
        <x:f>'03_Model_Assumptions'!G23</x:f>
        <x:v>3.2</x:v>
      </x:c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5" hidden="0" customWidth="1"/>
    <x:col min="4" max="4" width="13" hidden="0" customWidth="1"/>
    <x:col min="5" max="5" width="16" hidden="0" customWidth="1"/>
    <x:col min="6" max="6" width="13" hidden="0" customWidth="1"/>
    <x:col min="7" max="7" width="14" hidden="0" customWidth="1"/>
    <x:col min="8" max="8" width="16" hidden="0" customWidth="1"/>
    <x:col min="9" max="9" width="18" hidden="0" customWidth="1"/>
    <x:col min="10" max="10" width="10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>
      <x:c r="A1" s="22" t="str">
        <x:v>기업가치 산출 — 현재주가 앵커링 ZERO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</x:row>
    <x:row r="3">
      <x:c r="A3" s="14" t="str">
        <x:v>시나리오</x:v>
      </x:c>
      <x:c r="B3" s="14" t="str">
        <x:v>확률</x:v>
      </x:c>
      <x:c r="C3" s="14" t="str">
        <x:v>Poly EBITDA(조)</x:v>
      </x:c>
      <x:c r="D3" s="14" t="str">
        <x:v>Poly EV</x:v>
      </x:c>
      <x:c r="E3" s="14" t="str">
        <x:v>Wafer EBITDA(조)</x:v>
      </x:c>
      <x:c r="F3" s="14" t="str">
        <x:v>Wafer EV</x:v>
      </x:c>
      <x:c r="G3" s="14" t="str">
        <x:v>Terminal EV</x:v>
      </x:c>
      <x:c r="H3" s="14" t="str">
        <x:v>2029 순차입금</x:v>
      </x:c>
      <x:c r="I3" s="14" t="str">
        <x:v>Terminal Core Equity</x:v>
      </x:c>
      <x:c r="J3" s="14" t="str">
        <x:v>할인율</x:v>
      </x:c>
      <x:c r="K3" s="14" t="str">
        <x:v>PV Core Equity</x:v>
      </x:c>
      <x:c r="L3" s="14" t="str">
        <x:v>기타사업 현재가치</x:v>
      </x:c>
      <x:c r="M3" s="14" t="str">
        <x:v>총 지분가치</x:v>
      </x:c>
      <x:c r="N3" s="14" t="str">
        <x:v>적정주가</x:v>
      </x:c>
    </x:row>
    <x:row r="4">
      <x:c r="A4" t="str">
        <x:v>Bear</x:v>
      </x:c>
      <x:c r="B4" s="58" t="n">
        <x:f>'04_Scenario_Engine'!B4</x:f>
        <x:v>0.15</x:v>
      </x:c>
      <x:c r="C4" s="70" t="n">
        <x:f>'04_Scenario_Engine'!H4</x:f>
        <x:v>0.40754</x:v>
      </x:c>
      <x:c r="D4" s="70" t="n">
        <x:f>C4*'04_Scenario_Engine'!I4</x:f>
        <x:v>1.83393</x:v>
      </x:c>
      <x:c r="E4" s="70" t="n">
        <x:f>'04_Scenario_Engine'!L4</x:f>
        <x:v>0.0679328</x:v>
      </x:c>
      <x:c r="F4" s="70" t="n">
        <x:f>E4*'04_Scenario_Engine'!M4</x:f>
        <x:v>0.339664</x:v>
      </x:c>
      <x:c r="G4" s="70" t="n">
        <x:f>D4+F4</x:f>
        <x:v>2.173594</x:v>
      </x:c>
      <x:c r="H4" s="70" t="n">
        <x:f>'04_Scenario_Engine'!O4</x:f>
        <x:v>1.6</x:v>
      </x:c>
      <x:c r="I4" s="70" t="n">
        <x:f>G4-H4</x:f>
        <x:v>0.5735939999999999</x:v>
      </x:c>
      <x:c r="J4" s="58" t="n">
        <x:f>'04_Scenario_Engine'!N4</x:f>
        <x:v>0.12</x:v>
      </x:c>
      <x:c r="K4" s="70" t="n">
        <x:f>I4/((1+J4)^(('03_Model_Assumptions'!$B$5-'03_Model_Assumptions'!$B$4)/365.25))</x:f>
        <x:v>0.3910086555094688</x:v>
      </x:c>
      <x:c r="L4" s="70" t="n">
        <x:f>'04_Scenario_Engine'!P4</x:f>
        <x:v>1.9</x:v>
      </x:c>
      <x:c r="M4" s="70" t="n">
        <x:f>K4+L4</x:f>
        <x:v>2.2910086555094686</x:v>
      </x:c>
      <x:c r="N4" s="72" t="n">
        <x:f>M4*1000000000000/'03_Model_Assumptions'!$B$13</x:f>
        <x:v>122709.16909385318</x:v>
      </x:c>
    </x:row>
    <x:row r="5">
      <x:c r="A5" t="str">
        <x:v>Base</x:v>
      </x:c>
      <x:c r="B5" s="58" t="n">
        <x:f>'04_Scenario_Engine'!B5</x:f>
        <x:v>0.5</x:v>
      </x:c>
      <x:c r="C5" s="70" t="n">
        <x:f>'04_Scenario_Engine'!H5</x:f>
        <x:v>0.62622</x:v>
      </x:c>
      <x:c r="D5" s="70" t="n">
        <x:f>C5*'04_Scenario_Engine'!I5</x:f>
        <x:v>3.44421</x:v>
      </x:c>
      <x:c r="E5" s="70" t="n">
        <x:f>'04_Scenario_Engine'!L5</x:f>
        <x:v>0.14329575</x:v>
      </x:c>
      <x:c r="F5" s="70" t="n">
        <x:f>E5*'04_Scenario_Engine'!M5</x:f>
        <x:v>0.8597745</x:v>
      </x:c>
      <x:c r="G5" s="70" t="n">
        <x:f>D5+F5</x:f>
        <x:v>4.3039845</x:v>
      </x:c>
      <x:c r="H5" s="70" t="n">
        <x:f>'04_Scenario_Engine'!O5</x:f>
        <x:v>1.3</x:v>
      </x:c>
      <x:c r="I5" s="70" t="n">
        <x:f>G5-H5</x:f>
        <x:v>3.0039845000000005</x:v>
      </x:c>
      <x:c r="J5" s="58" t="n">
        <x:f>'04_Scenario_Engine'!N5</x:f>
        <x:v>0.105</x:v>
      </x:c>
      <x:c r="K5" s="70" t="n">
        <x:f>I5/((1+J5)^(('03_Model_Assumptions'!$B$5-'03_Model_Assumptions'!$B$4)/365.25))</x:f>
        <x:v>2.1432812783602726</x:v>
      </x:c>
      <x:c r="L5" s="70" t="n">
        <x:f>'04_Scenario_Engine'!P5</x:f>
        <x:v>2.4</x:v>
      </x:c>
      <x:c r="M5" s="70" t="n">
        <x:f>K5+L5</x:f>
        <x:v>4.543281278360272</x:v>
      </x:c>
      <x:c r="N5" s="72" t="n">
        <x:f>M5*1000000000000/'03_Model_Assumptions'!$B$13</x:f>
        <x:v>243343.58985792316</x:v>
      </x:c>
    </x:row>
    <x:row r="6">
      <x:c r="A6" t="str">
        <x:v>Bull</x:v>
      </x:c>
      <x:c r="B6" s="58" t="n">
        <x:f>'04_Scenario_Engine'!B6</x:f>
        <x:v>0.25</x:v>
      </x:c>
      <x:c r="C6" s="70" t="n">
        <x:f>'04_Scenario_Engine'!H6</x:f>
        <x:v>0.897085</x:v>
      </x:c>
      <x:c r="D6" s="70" t="n">
        <x:f>C6*'04_Scenario_Engine'!I6</x:f>
        <x:v>5.8310525</x:v>
      </x:c>
      <x:c r="E6" s="70" t="n">
        <x:f>'04_Scenario_Engine'!L6</x:f>
        <x:v>0.2016755</x:v>
      </x:c>
      <x:c r="F6" s="70" t="n">
        <x:f>E6*'04_Scenario_Engine'!M6</x:f>
        <x:v>1.4117285000000002</x:v>
      </x:c>
      <x:c r="G6" s="70" t="n">
        <x:f>D6+F6</x:f>
        <x:v>7.242781000000001</x:v>
      </x:c>
      <x:c r="H6" s="70" t="n">
        <x:f>'04_Scenario_Engine'!O6</x:f>
        <x:v>1</x:v>
      </x:c>
      <x:c r="I6" s="70" t="n">
        <x:f>G6-H6</x:f>
        <x:v>6.242781000000001</x:v>
      </x:c>
      <x:c r="J6" s="58" t="n">
        <x:f>'04_Scenario_Engine'!N6</x:f>
        <x:v>0.095</x:v>
      </x:c>
      <x:c r="K6" s="70" t="n">
        <x:f>I6/((1+J6)^(('03_Model_Assumptions'!$B$5-'03_Model_Assumptions'!$B$4)/365.25))</x:f>
        <x:v>4.593135717198694</x:v>
      </x:c>
      <x:c r="L6" s="70" t="n">
        <x:f>'04_Scenario_Engine'!P6</x:f>
        <x:v>3</x:v>
      </x:c>
      <x:c r="M6" s="70" t="n">
        <x:f>K6+L6</x:f>
        <x:v>7.593135717198694</x:v>
      </x:c>
      <x:c r="N6" s="72" t="n">
        <x:f>M6*1000000000000/'03_Model_Assumptions'!$B$13</x:f>
        <x:v>406697.4484944105</x:v>
      </x:c>
    </x:row>
    <x:row r="7">
      <x:c r="A7" t="str">
        <x:v>AI/Space</x:v>
      </x:c>
      <x:c r="B7" s="58" t="n">
        <x:f>'04_Scenario_Engine'!B7</x:f>
        <x:v>0.1</x:v>
      </x:c>
      <x:c r="C7" s="70" t="n">
        <x:f>'04_Scenario_Engine'!H7</x:f>
        <x:v>1.060598</x:v>
      </x:c>
      <x:c r="D7" s="70" t="n">
        <x:f>C7*'04_Scenario_Engine'!I7</x:f>
        <x:v>7.424186</x:v>
      </x:c>
      <x:c r="E7" s="70" t="n">
        <x:f>'04_Scenario_Engine'!L7</x:f>
        <x:v>0.22651343</x:v>
      </x:c>
      <x:c r="F7" s="70" t="n">
        <x:f>E7*'04_Scenario_Engine'!M7</x:f>
        <x:v>1.698850725</x:v>
      </x:c>
      <x:c r="G7" s="70" t="n">
        <x:f>D7+F7</x:f>
        <x:v>9.123036725</x:v>
      </x:c>
      <x:c r="H7" s="70" t="n">
        <x:f>'04_Scenario_Engine'!O7</x:f>
        <x:v>0.9</x:v>
      </x:c>
      <x:c r="I7" s="70" t="n">
        <x:f>G7-H7</x:f>
        <x:v>8.223036725</x:v>
      </x:c>
      <x:c r="J7" s="58" t="n">
        <x:f>'04_Scenario_Engine'!N7</x:f>
        <x:v>0.09</x:v>
      </x:c>
      <x:c r="K7" s="70" t="n">
        <x:f>I7/((1+J7)^(('03_Model_Assumptions'!$B$5-'03_Model_Assumptions'!$B$4)/365.25))</x:f>
        <x:v>6.144464562384529</x:v>
      </x:c>
      <x:c r="L7" s="70" t="n">
        <x:f>'04_Scenario_Engine'!P7</x:f>
        <x:v>3.2</x:v>
      </x:c>
      <x:c r="M7" s="70" t="n">
        <x:f>K7+L7</x:f>
        <x:v>9.34446456238453</x:v>
      </x:c>
      <x:c r="N7" s="72" t="n">
        <x:f>M7*1000000000000/'03_Model_Assumptions'!$B$13</x:f>
        <x:v>500500.7202044694</x:v>
      </x:c>
    </x:row>
    <x:row r="10">
      <x:c r="A10" s="34" t="str">
        <x:v>미래가치 확률반영</x:v>
      </x:c>
      <x:c r="B10" s="34" t="str">
        <x:v>값</x:v>
      </x:c>
      <x:c r="C10" s="34" t="str">
        <x:v>비고</x:v>
      </x:c>
      <x:c r="E10" s="81" t="str">
        <x:v>시장 비교 — 산식 외부</x:v>
      </x:c>
      <x:c r="F10" s="81"/>
      <x:c r="G10" s="81"/>
    </x:row>
    <x:row r="11">
      <x:c r="A11" t="str">
        <x:v>확률가중 지분가치(조원)</x:v>
      </x:c>
      <x:c r="B11" s="76" t="n">
        <x:f>SUMPRODUCT(B4:B7,M4:M7)</x:f>
        <x:v>5.4480223230446825</x:v>
      </x:c>
      <x:c r="C11" t="str">
        <x:v>현재주가 미사용</x:v>
      </x:c>
      <x:c r="E11" t="str">
        <x:v>현재주가</x:v>
      </x:c>
      <x:c r="F11" s="84" t="n">
        <x:f>'01_Facts'!B4</x:f>
        <x:v>279000</x:v>
      </x:c>
      <x:c r="G11" t="str">
        <x:v>비교용 only</x:v>
      </x:c>
    </x:row>
    <x:row r="12">
      <x:c r="A12" t="str">
        <x:v>확률가중 가치/주</x:v>
      </x:c>
      <x:c r="B12" s="77" t="n">
        <x:f>SUMPRODUCT(B4:B7,N4:N7)</x:f>
        <x:v>291802.6044370891</x:v>
      </x:c>
      <x:c r="C12" t="str">
        <x:v>미래가치 확률반영</x:v>
      </x:c>
      <x:c r="E12" t="str">
        <x:v>확률가중 대비 괴리</x:v>
      </x:c>
      <x:c r="F12" s="85" t="n">
        <x:f>F11/B12-1</x:f>
        <x:v>-0.043874195234776536</x:v>
      </x:c>
    </x:row>
  </x:sheetData>
  <x:mergeCells>
    <x:mergeCell ref="A1:N1"/>
    <x:mergeCell ref="E10:G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5" hidden="0" customWidth="1"/>
    <x:col min="8" max="8" width="18" hidden="0" customWidth="1"/>
  </x:cols>
  <x:sheetData>
    <x:row r="1">
      <x:c r="A1" s="89" t="str">
        <x:v>검증 이벤트 — 이벤트 발생 시에만 가정 변경</x:v>
      </x:c>
      <x:c r="B1" s="89"/>
      <x:c r="C1" s="89"/>
      <x:c r="D1" s="89"/>
      <x:c r="E1" s="89"/>
      <x:c r="F1" s="89"/>
      <x:c r="G1" s="89"/>
      <x:c r="H1" s="89"/>
    </x:row>
    <x:row r="3">
      <x:c r="A3" s="94" t="str">
        <x:v>체크포인트</x:v>
      </x:c>
      <x:c r="B3" s="94" t="str">
        <x:v>현재 상태</x:v>
      </x:c>
      <x:c r="C3" s="94" t="str">
        <x:v>확인할 숫자</x:v>
      </x:c>
      <x:c r="D3" s="94" t="str">
        <x:v>영향받는 가정</x:v>
      </x:c>
      <x:c r="E3" s="94" t="str">
        <x:v>상향 조건</x:v>
      </x:c>
      <x:c r="F3" s="94" t="str">
        <x:v>하향 조건</x:v>
      </x:c>
      <x:c r="G3" s="94" t="str">
        <x:v>출처/확인처</x:v>
      </x:c>
      <x:c r="H3" s="94" t="str">
        <x:v>상태 라벨</x:v>
      </x:c>
    </x:row>
    <x:row r="4">
      <x:c r="A4" s="19" t="str">
        <x:v>Section 232 시행</x:v>
      </x:c>
      <x:c r="B4" s="19" t="str">
        <x:v>2026-12-04 시행 예정</x:v>
      </x:c>
      <x:c r="C4" s="19" t="str">
        <x:v>미국향 실제 ASP</x:v>
      </x:c>
      <x:c r="D4" s="19" t="str">
        <x:v>Poly ASP / EBITDA/kg</x:v>
      </x:c>
      <x:c r="E4" s="19" t="str">
        <x:v>ASP가 Base 이상</x:v>
      </x:c>
      <x:c r="F4" s="19" t="str">
        <x:v>ASP가 Bear 이하</x:v>
      </x:c>
      <x:c r="G4" s="19" t="str">
        <x:v>U.S. Section 232 + 회사 실적</x:v>
      </x:c>
      <x:c r="H4" s="19" t="str">
        <x:v>미국정책</x:v>
      </x:c>
    </x:row>
    <x:row r="5">
      <x:c r="A5" s="19" t="str">
        <x:v>TerraSus 흑자전환</x:v>
      </x:c>
      <x:c r="B5" s="19" t="str">
        <x:v>2Q26 영업적자</x:v>
      </x:c>
      <x:c r="C5" s="19" t="str">
        <x:v>2개 분기 연속 영업이익</x:v>
      </x:c>
      <x:c r="D5" s="19" t="str">
        <x:v>가동률 / EBITDA/kg</x:v>
      </x:c>
      <x:c r="E5" s="19" t="str">
        <x:v>연속 흑자</x:v>
      </x:c>
      <x:c r="F5" s="19" t="str">
        <x:v>적자 지속</x:v>
      </x:c>
      <x:c r="G5" s="19" t="str">
        <x:v>OCI홀딩스 분기 IR</x:v>
      </x:c>
      <x:c r="H5" s="19" t="str">
        <x:v>실적 검증</x:v>
      </x:c>
    </x:row>
    <x:row r="6">
      <x:c r="A6" s="19" t="str">
        <x:v>신규 35kMT LTA</x:v>
      </x:c>
      <x:c r="B6" s="19" t="str">
        <x:v>협상중</x:v>
      </x:c>
      <x:c r="C6" s="19" t="str">
        <x:v>계약 물량 / 기간</x:v>
      </x:c>
      <x:c r="D6" s="19" t="str">
        <x:v>가동률 / 확률</x:v>
      </x:c>
      <x:c r="E6" s="19" t="str">
        <x:v>증설분 70%+ 확보</x:v>
      </x:c>
      <x:c r="F6" s="19" t="str">
        <x:v>협상 장기화/무산</x:v>
      </x:c>
      <x:c r="G6" s="19" t="str">
        <x:v>OCI홀딩스 IR/공시</x:v>
      </x:c>
      <x:c r="H6" s="19" t="str">
        <x:v>회사 IR 확인</x:v>
      </x:c>
    </x:row>
    <x:row r="7">
      <x:c r="A7" s="19" t="str">
        <x:v>Take-or-Pay / 선수금</x:v>
      </x:c>
      <x:c r="B7" s="19" t="str">
        <x:v>미공개</x:v>
      </x:c>
      <x:c r="C7" s="19" t="str">
        <x:v>선수금 / 계약조건</x:v>
      </x:c>
      <x:c r="D7" s="19" t="str">
        <x:v>2029 순차입금</x:v>
      </x:c>
      <x:c r="E7" s="19" t="str">
        <x:v>선수금 유입·Take-or-Pay</x:v>
      </x:c>
      <x:c r="F7" s="19" t="str">
        <x:v>선수금 없음/조건 약함</x:v>
      </x:c>
      <x:c r="G7" s="19" t="str">
        <x:v>OCI홀딩스 IR/공시</x:v>
      </x:c>
      <x:c r="H7" s="19" t="str">
        <x:v>검증 필요</x:v>
      </x:c>
    </x:row>
    <x:row r="8">
      <x:c r="A8" s="19" t="str">
        <x:v>NeoSilicon 수익성</x:v>
      </x:c>
      <x:c r="B8" s="19" t="str">
        <x:v>초기 램프</x:v>
      </x:c>
      <x:c r="C8" s="19" t="str">
        <x:v>EBITDA/W</x:v>
      </x:c>
      <x:c r="D8" s="19" t="str">
        <x:v>Wafer EBITDA/W</x:v>
      </x:c>
      <x:c r="E8" s="19" t="str">
        <x:v>$0.015/W 이상</x:v>
      </x:c>
      <x:c r="F8" s="19" t="str">
        <x:v>$0.008/W 이하</x:v>
      </x:c>
      <x:c r="G8" s="19" t="str">
        <x:v>OCI홀딩스 IR</x:v>
      </x:c>
      <x:c r="H8" s="19" t="str">
        <x:v>실적 검증</x:v>
      </x:c>
    </x:row>
    <x:row r="9">
      <x:c r="A9" s="19" t="str">
        <x:v>2028 미국 태양광 수요</x:v>
      </x:c>
      <x:c r="B9" s="19" t="str">
        <x:v>미래</x:v>
      </x:c>
      <x:c r="C9" s="19" t="str">
        <x:v>신규 설치/수주</x:v>
      </x:c>
      <x:c r="D9" s="19" t="str">
        <x:v>기타사업 / 확률</x:v>
      </x:c>
      <x:c r="E9" s="19" t="str">
        <x:v>수요 유지</x:v>
      </x:c>
      <x:c r="F9" s="19" t="str">
        <x:v>45Y·48E 종료 후 급감</x:v>
      </x:c>
      <x:c r="G9" s="19" t="str">
        <x:v>EIA/회사 IR</x:v>
      </x:c>
      <x:c r="H9" s="19" t="str">
        <x:v>정책·시장 검증</x:v>
      </x:c>
    </x:row>
    <x:row r="10">
      <x:c r="A10" s="19" t="str">
        <x:v>SpaceX 계약</x:v>
      </x:c>
      <x:c r="B10" s="19" t="str">
        <x:v>협상 보도 수준</x:v>
      </x:c>
      <x:c r="C10" s="19" t="str">
        <x:v>상대·물량·기간</x:v>
      </x:c>
      <x:c r="D10" s="19" t="str">
        <x:v>확률 / 멀티플</x:v>
      </x:c>
      <x:c r="E10" s="19" t="str">
        <x:v>대형 장기계약 확인</x:v>
      </x:c>
      <x:c r="F10" s="19" t="str">
        <x:v>협상 무산</x:v>
      </x:c>
      <x:c r="G10" s="19" t="str">
        <x:v>공식 계약/Reuters</x:v>
      </x:c>
      <x:c r="H10" s="19" t="str">
        <x:v>미확정 옵션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40" hidden="0" customWidth="1"/>
    <x:col min="5" max="5" width="18" hidden="0" customWidth="1"/>
    <x:col min="6" max="6" width="38" hidden="0" customWidth="1"/>
    <x:col min="7" max="7" width="28" hidden="0" customWidth="1"/>
    <x:col min="8" max="8" width="28" hidden="0" customWidth="1"/>
  </x:cols>
  <x:sheetData>
    <x:row r="1">
      <x:c r="A1" s="97" t="str">
        <x:v>출처·변경 감사 로그</x:v>
      </x:c>
      <x:c r="B1" s="97"/>
      <x:c r="C1" s="97"/>
      <x:c r="D1" s="97"/>
      <x:c r="E1" s="97"/>
      <x:c r="F1" s="97"/>
      <x:c r="G1" s="97"/>
      <x:c r="H1" s="97"/>
    </x:row>
    <x:row r="3">
      <x:c r="A3" s="102" t="str">
        <x:v>날짜</x:v>
      </x:c>
      <x:c r="B3" s="102" t="str">
        <x:v>항목</x:v>
      </x:c>
      <x:c r="C3" s="102" t="str">
        <x:v>이전값</x:v>
      </x:c>
      <x:c r="D3" s="102" t="str">
        <x:v>새값</x:v>
      </x:c>
      <x:c r="E3" s="102" t="str">
        <x:v>출처 유형</x:v>
      </x:c>
      <x:c r="F3" s="102" t="str">
        <x:v>근거</x:v>
      </x:c>
      <x:c r="G3" s="102" t="str">
        <x:v>가치 영향</x:v>
      </x:c>
      <x:c r="H3" s="102" t="str">
        <x:v>작성 메모</x:v>
      </x:c>
    </x:row>
    <x:row r="4">
      <x:c r="A4" s="19" t="str">
        <x:v>2026-08-15</x:v>
      </x:c>
      <x:c r="B4" s="19" t="str">
        <x:v>MIP 적용범위</x:v>
      </x:c>
      <x:c r="C4" s="19" t="str">
        <x:v>중국 중심 인식</x:v>
      </x:c>
      <x:c r="D4" s="19" t="str">
        <x:v>원산지 중립 / 말레이시아 포함</x:v>
      </x:c>
      <x:c r="E4" s="19" t="str">
        <x:v>미국정책</x:v>
      </x:c>
      <x:c r="F4" s="19" t="str">
        <x:v>Section 232 원문</x:v>
      </x:c>
      <x:c r="G4" s="19" t="str">
        <x:v>ASP≠MIP 분리 필요</x:v>
      </x:c>
      <x:c r="H4" s="19" t="str">
        <x:v>정책 원문 기준으로 수정</x:v>
      </x:c>
    </x:row>
    <x:row r="5">
      <x:c r="A5" s="19" t="str">
        <x:v>2026-08-15</x:v>
      </x:c>
      <x:c r="B5" s="19" t="str">
        <x:v>MIP 시행일</x:v>
      </x:c>
      <x:c r="C5" s="19" t="str">
        <x:v>미표기</x:v>
      </x:c>
      <x:c r="D5" s="19" t="str">
        <x:v>2026-12-04</x:v>
      </x:c>
      <x:c r="E5" s="19" t="str">
        <x:v>미국정책</x:v>
      </x:c>
      <x:c r="F5" s="19" t="str">
        <x:v>Section 232 원문</x:v>
      </x:c>
      <x:c r="G5" s="19" t="str">
        <x:v>검증 이벤트 명확화</x:v>
      </x:c>
      <x:c r="H5" s="19" t="str">
        <x:v>고정</x:v>
      </x:c>
    </x:row>
    <x:row r="6">
      <x:c r="A6" s="19" t="str">
        <x:v>2026-08-15</x:v>
      </x:c>
      <x:c r="B6" s="19" t="str">
        <x:v>45Y·48E</x:v>
      </x:c>
      <x:c r="C6" s="19" t="str">
        <x:v>단순 지속</x:v>
      </x:c>
      <x:c r="D6" s="19" t="str">
        <x:v>2026-07-04 이후 착공 + 2027-12-31 이후 가동 종료 조건</x:v>
      </x:c>
      <x:c r="E6" s="19" t="str">
        <x:v>미국정책</x:v>
      </x:c>
      <x:c r="F6" s="19" t="str">
        <x:v>IRS Notice 2025-42</x:v>
      </x:c>
      <x:c r="G6" s="19" t="str">
        <x:v>2028 이후 수요 리스크 추가</x:v>
      </x:c>
      <x:c r="H6" s="19" t="str">
        <x:v>고정</x:v>
      </x:c>
    </x:row>
    <x:row r="7">
      <x:c r="A7" s="19" t="str">
        <x:v>2026-08-15</x:v>
      </x:c>
      <x:c r="B7" s="19" t="str">
        <x:v>TerraSus 현재상태</x:v>
      </x:c>
      <x:c r="C7" s="19" t="str">
        <x:v>성장 가정 중심</x:v>
      </x:c>
      <x:c r="D7" s="19" t="str">
        <x:v>2Q26 영업적자(회사 IR 반올림 -3십억원)</x:v>
      </x:c>
      <x:c r="E7" s="19" t="str">
        <x:v>실적·공시값</x:v>
      </x:c>
      <x:c r="F7" s="19" t="str">
        <x:v>OCI 2Q26 IR</x:v>
      </x:c>
      <x:c r="G7" s="19" t="str">
        <x:v>흑자전환 검증 필요</x:v>
      </x:c>
      <x:c r="H7" s="19" t="str">
        <x:v>고정</x:v>
      </x:c>
    </x:row>
    <x:row r="8">
      <x:c r="A8" s="19" t="str">
        <x:v>2026-08-15</x:v>
      </x:c>
      <x:c r="B8" s="19" t="str">
        <x:v>현재주가</x:v>
      </x:c>
      <x:c r="C8" s="19" t="str">
        <x:v>밸류 문맥 혼재</x:v>
      </x:c>
      <x:c r="D8" s="19" t="str">
        <x:v>시장 비교 전용</x:v>
      </x:c>
      <x:c r="E8" s="19" t="str">
        <x:v>모델 규칙</x:v>
      </x:c>
      <x:c r="F8" s="19" t="str">
        <x:v>Skill Rule #1</x:v>
      </x:c>
      <x:c r="G8" s="19" t="str">
        <x:v>앵커링 제거</x:v>
      </x:c>
      <x:c r="H8" s="19" t="str">
        <x:v>고정</x:v>
      </x:c>
    </x:row>
    <x:row r="9">
      <x:c r="A9" t="str">
        <x:v>2026-08-15</x:v>
      </x:c>
      <x:c r="B9" t="str">
        <x:v>수식 전수 점검</x:v>
      </x:c>
      <x:c r="C9" t="str">
        <x:v>미점검</x:v>
      </x:c>
      <x:c r="D9" t="str">
        <x:v>오류 0건</x:v>
      </x:c>
      <x:c r="E9" t="str">
        <x:v>모델 감사</x:v>
      </x:c>
      <x:c r="F9" t="str">
        <x:v>Formula error scan + 단위 검산</x:v>
      </x:c>
      <x:c r="G9" t="str">
        <x:v>신뢰도 상승</x:v>
      </x:c>
      <x:c r="H9" t="str">
        <x:v>v1.1 감사 완료</x:v>
      </x:c>
    </x:row>
    <x:row r="10">
      <x:c r="A10" t="str">
        <x:v>2026-08-15</x:v>
      </x:c>
      <x:c r="B10" t="str">
        <x:v>현재주가 독립성</x:v>
      </x:c>
      <x:c r="C10" t="str">
        <x:v>가정상 독립</x:v>
      </x:c>
      <x:c r="D10" t="str">
        <x:v>100,000원 스트레스 테스트 통과</x:v>
      </x:c>
      <x:c r="E10" t="str">
        <x:v>모델 감사</x:v>
      </x:c>
      <x:c r="F10" t="str">
        <x:v>적정가/확률가중 가치 불변</x:v>
      </x:c>
      <x:c r="G10" t="str">
        <x:v>앵커링 차단 검증</x:v>
      </x:c>
      <x:c r="H10" t="str">
        <x:v>PASS</x:v>
      </x:c>
    </x:row>
    <x:row r="11">
      <x:c r="A11" t="str">
        <x:v>2026-08-15</x:v>
      </x:c>
      <x:c r="B11" t="str">
        <x:v>MIP-ASP 분리</x:v>
      </x:c>
      <x:c r="C11" t="str">
        <x:v>논리 규칙</x:v>
      </x:c>
      <x:c r="D11" t="str">
        <x:v>MIP 30달러 스트레스 테스트 통과</x:v>
      </x:c>
      <x:c r="E11" t="str">
        <x:v>모델 감사</x:v>
      </x:c>
      <x:c r="F11" t="str">
        <x:v>가치 불변, ASP 변경 시만 반응</x:v>
      </x:c>
      <x:c r="G11" t="str">
        <x:v>정책/실적 분리 검증</x:v>
      </x:c>
      <x:c r="H11" t="str">
        <x:v>PASS</x:v>
      </x:c>
    </x:row>
    <x:row r="12">
      <x:c r="A12" t="str">
        <x:v>2026-08-15</x:v>
      </x:c>
      <x:c r="B12" t="str">
        <x:v>ASP 민감도</x:v>
      </x:c>
      <x:c r="C12" t="str">
        <x:v>미정량</x:v>
      </x:c>
      <x:c r="D12" t="str">
        <x:v>Base ASP +$1 → +18,803원/주</x:v>
      </x:c>
      <x:c r="E12" t="str">
        <x:v>모델 감사</x:v>
      </x:c>
      <x:c r="F12" t="str">
        <x:v>Scenario Engine 민감도</x:v>
      </x:c>
      <x:c r="G12" t="str">
        <x:v>핵심 가치 드라이버 확인</x:v>
      </x:c>
      <x:c r="H12" t="str"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6" hidden="0" customWidth="1"/>
    <x:col min="5" max="5" width="32" hidden="0" customWidth="1"/>
    <x:col min="6" max="6" width="3" hidden="0" customWidth="1"/>
    <x:col min="7" max="7" width="20" hidden="0" customWidth="1"/>
    <x:col min="8" max="8" width="18" hidden="0" customWidth="1"/>
    <x:col min="9" max="9" width="4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3" t="str">
        <x:v>OCI홀딩스 밸류에이션 스킬 —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13" t="str">
        <x:v>핵심 자산가치 (Base)</x:v>
      </x:c>
      <x:c r="B3" s="13"/>
      <x:c r="C3" s="13"/>
      <x:c r="D3" s="104" t="str">
        <x:v>미래가치 확률반영</x:v>
      </x:c>
      <x:c r="E3" s="104"/>
      <x:c r="F3" s="104"/>
      <x:c r="G3" s="106" t="str">
        <x:v>검증 Bull 범위</x:v>
      </x:c>
      <x:c r="H3" s="106"/>
      <x:c r="I3" s="106"/>
      <x:c r="J3" s="108" t="str">
        <x:v>현재주가 앵커링 ZERO</x:v>
      </x:c>
      <x:c r="K3" s="108"/>
      <x:c r="L3" s="108"/>
    </x:row>
    <x:row r="4">
      <x:c r="A4" s="118" t="n">
        <x:f>'05_Valuation'!N5</x:f>
        <x:v>243343.58985792316</x:v>
      </x:c>
      <x:c r="B4" s="113"/>
      <x:c r="C4" s="113"/>
      <x:c r="D4" s="126" t="n">
        <x:f>'05_Valuation'!B12</x:f>
        <x:v>291802.6044370891</x:v>
      </x:c>
      <x:c r="E4" s="122"/>
      <x:c r="F4" s="122"/>
      <x:c r="G4" s="131" t="str">
        <x:f>"Bull "&amp;TEXT('05_Valuation'!N6/10000,"0.0")&amp;"만 ~ AI "&amp;TEXT('05_Valuation'!N7/10000,"0.0")&amp;"만"</x:f>
        <x:v>Bull 40.7만 ~ AI 50.1만</x:v>
      </x:c>
      <x:c r="H4" s="131"/>
      <x:c r="I4" s="131"/>
      <x:c r="J4" s="140" t="str">
        <x:v>현재주가는 비교용
Core/Bull 산식에 직접 투입하지 않음</x:v>
      </x:c>
      <x:c r="K4" s="140"/>
      <x:c r="L4" s="140"/>
    </x:row>
    <x:row r="5">
      <x:c r="A5" s="113"/>
      <x:c r="B5" s="113"/>
      <x:c r="C5" s="113"/>
      <x:c r="D5" s="122"/>
      <x:c r="E5" s="122"/>
      <x:c r="F5" s="122"/>
      <x:c r="G5" s="131"/>
      <x:c r="H5" s="131"/>
      <x:c r="I5" s="131"/>
      <x:c r="J5" s="140"/>
      <x:c r="K5" s="140"/>
      <x:c r="L5" s="140"/>
    </x:row>
    <x:row r="8">
      <x:c r="A8" s="14" t="str">
        <x:v>시나리오</x:v>
      </x:c>
      <x:c r="B8" s="14" t="str">
        <x:v>확률</x:v>
      </x:c>
      <x:c r="C8" s="14" t="str">
        <x:v>적정주가</x:v>
      </x:c>
      <x:c r="D8" s="14" t="str">
        <x:v>현재가 대비</x:v>
      </x:c>
      <x:c r="E8" s="14" t="str">
        <x:v>핵심 의미</x:v>
      </x:c>
      <x:c r="G8" s="34" t="str">
        <x:v>모델 무결성 체크</x:v>
      </x:c>
      <x:c r="H8" s="34"/>
      <x:c r="I8" s="34"/>
      <x:c r="J8" s="34"/>
      <x:c r="K8" s="34"/>
      <x:c r="L8" s="34"/>
    </x:row>
    <x:row r="9">
      <x:c r="A9" t="str">
        <x:f>'05_Valuation'!A4</x:f>
        <x:v>Bear</x:v>
      </x:c>
      <x:c r="B9" s="58" t="n">
        <x:f>'05_Valuation'!B4</x:f>
        <x:v>0.15</x:v>
      </x:c>
      <x:c r="C9" s="74" t="n">
        <x:f>'05_Valuation'!N4</x:f>
        <x:v>122709.16909385318</x:v>
      </x:c>
      <x:c r="D9" s="146" t="n">
        <x:f>C9/'01_Facts'!$B$4-1</x:f>
        <x:v>-0.5601821896277663</x:v>
      </x:c>
      <x:c r="E9" t="str">
        <x:v>MIP 효과 약화·증설 지연</x:v>
      </x:c>
      <x:c r="G9" s="19" t="str">
        <x:v>확률 합계</x:v>
      </x:c>
      <x:c r="H9" s="148" t="n">
        <x:f>'03_Model_Assumptions'!C17</x:f>
        <x:v>1</x:v>
      </x:c>
      <x:c r="I9" s="19" t="str">
        <x:v>100%여야 함</x:v>
      </x:c>
    </x:row>
    <x:row r="10">
      <x:c r="A10" t="str">
        <x:f>'05_Valuation'!A5</x:f>
        <x:v>Base</x:v>
      </x:c>
      <x:c r="B10" s="58" t="n">
        <x:f>'05_Valuation'!B5</x:f>
        <x:v>0.5</x:v>
      </x:c>
      <x:c r="C10" s="74" t="n">
        <x:f>'05_Valuation'!N5</x:f>
        <x:v>243343.58985792316</x:v>
      </x:c>
      <x:c r="D10" s="146" t="n">
        <x:f>C10/'01_Facts'!$B$4-1</x:f>
        <x:v>-0.12780075319740802</x:v>
      </x:c>
      <x:c r="E10" t="str">
        <x:v>기존 LTA 정상 이행</x:v>
      </x:c>
      <x:c r="G10" s="19" t="str">
        <x:v>MIP와 ASP 분리</x:v>
      </x:c>
      <x:c r="H10" s="19" t="str">
        <x:v>PASS</x:v>
      </x:c>
      <x:c r="I10" s="19" t="str">
        <x:v>$21 MIP를 OCI ASP로 직접 사용하지 않음</x:v>
      </x:c>
    </x:row>
    <x:row r="11">
      <x:c r="A11" t="str">
        <x:f>'05_Valuation'!A6</x:f>
        <x:v>Bull</x:v>
      </x:c>
      <x:c r="B11" s="58" t="n">
        <x:f>'05_Valuation'!B6</x:f>
        <x:v>0.25</x:v>
      </x:c>
      <x:c r="C11" s="74" t="n">
        <x:f>'05_Valuation'!N6</x:f>
        <x:v>406697.4484944105</x:v>
      </x:c>
      <x:c r="D11" s="146" t="n">
        <x:f>C11/'01_Facts'!$B$4-1</x:f>
        <x:v>0.4576969480086397</x:v>
      </x:c>
      <x:c r="E11" t="str">
        <x:v>35kMT LTA+선수금·희소성</x:v>
      </x:c>
      <x:c r="G11" s="19" t="str">
        <x:v>현재주가 사용</x:v>
      </x:c>
      <x:c r="H11" s="19" t="str">
        <x:v>COMPARISON ONLY</x:v>
      </x:c>
      <x:c r="I11" s="19" t="str">
        <x:v>Valuation Engine 산식에 미사용</x:v>
      </x:c>
    </x:row>
    <x:row r="12">
      <x:c r="A12" t="str">
        <x:f>'05_Valuation'!A7</x:f>
        <x:v>AI/Space</x:v>
      </x:c>
      <x:c r="B12" s="58" t="n">
        <x:f>'05_Valuation'!B7</x:f>
        <x:v>0.1</x:v>
      </x:c>
      <x:c r="C12" s="74" t="n">
        <x:f>'05_Valuation'!N7</x:f>
        <x:v>500500.7202044694</x:v>
      </x:c>
      <x:c r="D12" s="146" t="n">
        <x:f>C12/'01_Facts'!$B$4-1</x:f>
        <x:v>0.7939093914138688</x:v>
      </x:c>
      <x:c r="E12" t="str">
        <x:v>AI/Space 대형 수요 검증</x:v>
      </x:c>
      <x:c r="G12" s="19" t="str">
        <x:v>회사계획 분리</x:v>
      </x:c>
      <x:c r="H12" s="19" t="str">
        <x:v>PASS</x:v>
      </x:c>
      <x:c r="I12" s="19" t="str">
        <x:v>70kMT·11.5GW는 회사 공식 IR 계획</x:v>
      </x:c>
    </x:row>
    <x:row r="13">
      <x:c r="G13" s="19" t="str">
        <x:v>CAPEX 처리</x:v>
      </x:c>
      <x:c r="H13" s="19" t="str">
        <x:v>PASS</x:v>
      </x:c>
      <x:c r="I13" s="19" t="str">
        <x:v>Gross CAPEX 이중차감 금지 / 순차입금 반영</x:v>
      </x:c>
    </x:row>
    <x:row r="15">
      <x:c r="A15" s="106" t="str">
        <x:v>다음 가치 갱신은 뉴스가 아니라 '검증 이벤트'가 발생할 때만</x:v>
      </x:c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</x:row>
    <x:row r="16">
      <x:c r="A16" s="152" t="str">
        <x:v>① 12/4 이후 실제 미국향 ASP  ② TerraSus 2개 분기 연속 흑자  ③ 신규 35kMT LTA  ④ Take-or-Pay·선수금  ⑤ NeoSilicon EBITDA/W  ⑥ 2028 미국 태양광 수요</x:v>
      </x:c>
      <x:c r="B16" s="152"/>
      <x:c r="C16" s="152"/>
      <x:c r="D16" s="152"/>
      <x:c r="E16" s="152"/>
      <x:c r="F16" s="152"/>
      <x:c r="G16" s="152"/>
      <x:c r="H16" s="152"/>
      <x:c r="I16" s="152"/>
      <x:c r="J16" s="152"/>
      <x:c r="K16" s="152"/>
      <x:c r="L16" s="152"/>
    </x:row>
  </x:sheetData>
  <x:mergeCells>
    <x:mergeCell ref="A1:L1"/>
    <x:mergeCell ref="A3:C3"/>
    <x:mergeCell ref="D3:F3"/>
    <x:mergeCell ref="G3:I3"/>
    <x:mergeCell ref="J3:L3"/>
    <x:mergeCell ref="A4:C5"/>
    <x:mergeCell ref="D4:F5"/>
    <x:mergeCell ref="G4:I5"/>
    <x:mergeCell ref="J4:L5"/>
    <x:mergeCell ref="G8:L8"/>
    <x:mergeCell ref="A15:L15"/>
    <x:mergeCell ref="A16:L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24" hidden="0" customWidth="1"/>
    <x:col min="4" max="4" width="12" hidden="0" customWidth="1"/>
    <x:col min="5" max="5" width="50" hidden="0" customWidth="1"/>
    <x:col min="6" max="6" width="14" hidden="0" customWidth="1"/>
  </x:cols>
  <x:sheetData>
    <x:row r="1">
      <x:c r="A1" s="155" t="str">
        <x:v>수식·논리 무결성 감사</x:v>
      </x:c>
      <x:c r="B1" s="155"/>
      <x:c r="C1" s="155"/>
      <x:c r="D1" s="155"/>
      <x:c r="E1" s="155"/>
      <x:c r="F1" s="155"/>
    </x:row>
    <x:row r="3">
      <x:c r="A3" s="157" t="str">
        <x:v>검증 항목</x:v>
      </x:c>
      <x:c r="B3" s="157" t="str">
        <x:v>검증식 / 방식</x:v>
      </x:c>
      <x:c r="C3" s="157" t="str">
        <x:v>결과</x:v>
      </x:c>
      <x:c r="D3" s="157" t="str">
        <x:v>판정</x:v>
      </x:c>
      <x:c r="E3" s="157" t="str">
        <x:v>의미</x:v>
      </x:c>
      <x:c r="F3" s="157" t="str">
        <x:v>감사일</x:v>
      </x:c>
    </x:row>
    <x:row r="4">
      <x:c r="A4" s="19" t="str">
        <x:v>현재주가 독립성</x:v>
      </x:c>
      <x:c r="B4" s="19" t="str">
        <x:v>Facts 현재주가 279,000→100,000 스트레스 테스트</x:v>
      </x:c>
      <x:c r="C4" s="19" t="str">
        <x:v>가치 산출값 변화 없음</x:v>
      </x:c>
      <x:c r="D4" s="19" t="str">
        <x:v>PASS</x:v>
      </x:c>
      <x:c r="E4" s="19" t="str">
        <x:v>현재주가는 비교용이며 적정가 산식에 미침투</x:v>
      </x:c>
      <x:c r="F4" s="19" t="str">
        <x:v>2026-08-15</x:v>
      </x:c>
    </x:row>
    <x:row r="5">
      <x:c r="A5" s="19" t="str">
        <x:v>MIP-ASP 분리</x:v>
      </x:c>
      <x:c r="B5" s="19" t="str">
        <x:v>MIP 21→30 스트레스 테스트</x:v>
      </x:c>
      <x:c r="C5" s="19" t="str">
        <x:v>가치 산출값 변화 없음</x:v>
      </x:c>
      <x:c r="D5" s="19" t="str">
        <x:v>PASS</x:v>
      </x:c>
      <x:c r="E5" s="19" t="str">
        <x:v>MIP는 정책 바닥; 실제 ASP가 가치 입력값</x:v>
      </x:c>
      <x:c r="F5" s="19" t="str">
        <x:v>2026-08-15</x:v>
      </x:c>
    </x:row>
    <x:row r="6">
      <x:c r="A6" s="19" t="str">
        <x:v>ASP 민감도</x:v>
      </x:c>
      <x:c r="B6" s="19" t="str">
        <x:v>Base ASP +$1/kg 테스트</x:v>
      </x:c>
      <x:c r="C6" s="19" t="str">
        <x:v>Base 가치 +18,803원/주</x:v>
      </x:c>
      <x:c r="D6" s="19" t="str">
        <x:v>PASS</x:v>
      </x:c>
      <x:c r="E6" s="19" t="str">
        <x:v>모델이 실제 경제변수에 정상 반응</x:v>
      </x:c>
      <x:c r="F6" s="19" t="str">
        <x:v>2026-08-15</x:v>
      </x:c>
    </x:row>
    <x:row r="7">
      <x:c r="A7" s="19" t="str">
        <x:v>확률 합계</x:v>
      </x:c>
      <x:c r="B7" s="19" t="str">
        <x:v>확률 4개 합산</x:v>
      </x:c>
      <x:c r="C7" s="19" t="str">
        <x:v>100%</x:v>
      </x:c>
      <x:c r="D7" s="19" t="str">
        <x:v>PASS</x:v>
      </x:c>
      <x:c r="E7" s="19" t="str">
        <x:v>미래가치 확률반영 정상</x:v>
      </x:c>
      <x:c r="F7" s="19" t="str">
        <x:v>2026-08-15</x:v>
      </x:c>
    </x:row>
    <x:row r="8">
      <x:c r="A8" s="19" t="str">
        <x:v>수식 오류</x:v>
      </x:c>
      <x:c r="B8" s="19" t="str">
        <x:v>#REF/#DIV0/#VALUE/#NAME/#N/A 스캔</x:v>
      </x:c>
      <x:c r="C8" s="19" t="str">
        <x:v>0건</x:v>
      </x:c>
      <x:c r="D8" s="19" t="str">
        <x:v>PASS</x:v>
      </x:c>
      <x:c r="E8" s="19" t="str">
        <x:v>계산 오류 없음</x:v>
      </x:c>
      <x:c r="F8" s="19" t="str">
        <x:v>2026-08-15</x:v>
      </x:c>
    </x:row>
    <x:row r="9">
      <x:c r="A9" s="19" t="str">
        <x:v>할인기간</x:v>
      </x:c>
      <x:c r="B9" s="19" t="str">
        <x:v>2026-08-14→2029-12-31</x:v>
      </x:c>
      <x:c r="C9" s="19" t="str">
        <x:v>3.381년</x:v>
      </x:c>
      <x:c r="D9" s="19" t="str">
        <x:v>PASS</x:v>
      </x:c>
      <x:c r="E9" s="19" t="str">
        <x:v>2029 연말 정상화 가치까지 정확한 날짜 차이 사용</x:v>
      </x:c>
      <x:c r="F9" s="19" t="str">
        <x:v>2026-08-15</x:v>
      </x:c>
    </x:row>
    <x:row r="10">
      <x:c r="A10" s="19" t="str">
        <x:v>Poly 단위</x:v>
      </x:c>
      <x:c r="B10" s="19" t="str">
        <x:v>70kMT×가동률×$/kg×FX</x:v>
      </x:c>
      <x:c r="C10" s="19" t="str">
        <x:v>Scenario Engine과 일치</x:v>
      </x:c>
      <x:c r="D10" s="19" t="str">
        <x:v>PASS</x:v>
      </x:c>
      <x:c r="E10" s="19" t="str">
        <x:v>kMT→kg 변환 정상</x:v>
      </x:c>
      <x:c r="F10" s="19" t="str">
        <x:v>2026-08-15</x:v>
      </x:c>
    </x:row>
    <x:row r="11">
      <x:c r="A11" s="19" t="str">
        <x:v>Wafer 단위</x:v>
      </x:c>
      <x:c r="B11" s="19" t="str">
        <x:v>11.5GW×가동률×$/W×FX×65%</x:v>
      </x:c>
      <x:c r="C11" s="19" t="str">
        <x:v>Scenario Engine과 일치</x:v>
      </x:c>
      <x:c r="D11" s="19" t="str">
        <x:v>PASS</x:v>
      </x:c>
      <x:c r="E11" s="19" t="str">
        <x:v>GW→W 및 65% 지분 반영 정상</x:v>
      </x:c>
      <x:c r="F11" s="19" t="str">
        <x:v>2026-08-15</x:v>
      </x:c>
    </x:row>
    <x:row r="12">
      <x:c r="A12" s="19" t="str">
        <x:v>CAPEX 처리</x:v>
      </x:c>
      <x:c r="B12" s="19" t="str">
        <x:v>Gross CAPEX 직접 차감 여부</x:v>
      </x:c>
      <x:c r="C12" s="19" t="str">
        <x:v>직접 차감하지 않음</x:v>
      </x:c>
      <x:c r="D12" s="19" t="str">
        <x:v>PASS</x:v>
      </x:c>
      <x:c r="E12" s="19" t="str">
        <x:v>2029 순차입금/Funding Gap으로만 반영</x:v>
      </x:c>
      <x:c r="F12" s="19" t="str">
        <x:v>2026-08-15</x:v>
      </x:c>
    </x:row>
    <x:row r="13">
      <x:c r="A13" s="19" t="str">
        <x:v>확률 중복</x:v>
      </x:c>
      <x:c r="B13" s="19" t="str">
        <x:v>시나리오별 적정가 × 확률</x:v>
      </x:c>
      <x:c r="C13" s="19" t="str">
        <x:v>SUMPRODUCT 1회</x:v>
      </x:c>
      <x:c r="D13" s="19" t="str">
        <x:v>PASS</x:v>
      </x:c>
      <x:c r="E13" s="19" t="str">
        <x:v>확률 이중반영 없음</x:v>
      </x:c>
      <x:c r="F13" s="19" t="str">
        <x:v>2026-08-15</x:v>
      </x:c>
    </x:row>
    <x:row r="15">
      <x:c r="A15" s="159" t="str">
        <x:v>실시간 엑셀 체크 — 입력값 변경 시 자동 판정</x:v>
      </x:c>
      <x:c r="B15" s="159"/>
      <x:c r="C15" s="159"/>
      <x:c r="D15" s="159"/>
      <x:c r="E15" s="159"/>
      <x:c r="F15" s="159"/>
    </x:row>
    <x:row r="16">
      <x:c r="A16" s="159" t="str">
        <x:v>체크</x:v>
      </x:c>
      <x:c r="B16" s="159" t="str">
        <x:v>수식</x:v>
      </x:c>
      <x:c r="C16" s="159" t="str">
        <x:v>현재 결과</x:v>
      </x:c>
    </x:row>
    <x:row r="17">
      <x:c r="A17" t="str">
        <x:v>확률합계</x:v>
      </x:c>
      <x:c r="B17" t="str">
        <x:v>시나리오 확률 합계</x:v>
      </x:c>
      <x:c r="C17" s="58" t="n">
        <x:f>'03_Model_Assumptions'!C17</x:f>
        <x:v>1</x:v>
      </x:c>
    </x:row>
    <x:row r="18">
      <x:c r="A18" t="str">
        <x:v>Base Poly EBITDA 재계산</x:v>
      </x:c>
      <x:c r="B18" t="str">
        <x:v>70kMT × 가동률 × EBITDA/kg × 환율</x:v>
      </x:c>
      <x:c r="C18" s="160" t="n">
        <x:f>'03_Model_Assumptions'!$B$10*1000000*'04_Scenario_Engine'!G5*'04_Scenario_Engine'!F5*'03_Model_Assumptions'!$B$6/1000000000000</x:f>
        <x:v>0.62622</x:v>
      </x:c>
    </x:row>
    <x:row r="19">
      <x:c r="A19" t="str">
        <x:v>Base Poly EBITDA 엔진값</x:v>
      </x:c>
      <x:c r="B19" t="str">
        <x:v>Scenario Engine H5</x:v>
      </x:c>
      <x:c r="C19" s="160" t="n">
        <x:f>'04_Scenario_Engine'!H5</x:f>
        <x:v>0.62622</x:v>
      </x:c>
    </x:row>
    <x:row r="20">
      <x:c r="A20" t="str">
        <x:v>Poly 단위 일치 여부</x:v>
      </x:c>
      <x:c r="B20" t="str">
        <x:v>재계산값 = 엔진값</x:v>
      </x:c>
      <x:c r="C20" s="160" t="b">
        <x:f>ABS(C18-C19)&lt;0.0000001</x:f>
        <x:v>1</x:v>
      </x:c>
    </x:row>
    <x:row r="21">
      <x:c r="A21" t="str">
        <x:v>Base Wafer EBITDA 재계산</x:v>
      </x:c>
      <x:c r="B21" t="str">
        <x:v>11.5GW × 가동률 × EBITDA/W × 환율 × 65%</x:v>
      </x:c>
      <x:c r="C21" s="160" t="n">
        <x:f>'03_Model_Assumptions'!$B$11*1000000000*'04_Scenario_Engine'!J5*'04_Scenario_Engine'!K5*'03_Model_Assumptions'!$B$6*'03_Model_Assumptions'!$B$12/1000000000000</x:f>
        <x:v>0.14329575</x:v>
      </x:c>
    </x:row>
    <x:row r="22">
      <x:c r="A22" t="str">
        <x:v>Base Wafer EBITDA 엔진값</x:v>
      </x:c>
      <x:c r="B22" t="str">
        <x:v>Scenario Engine L5</x:v>
      </x:c>
      <x:c r="C22" s="160" t="n">
        <x:f>'04_Scenario_Engine'!L5</x:f>
        <x:v>0.14329575</x:v>
      </x:c>
    </x:row>
    <x:row r="23">
      <x:c r="A23" t="str">
        <x:v>Wafer 단위 일치 여부</x:v>
      </x:c>
      <x:c r="B23" t="str">
        <x:v>재계산값 = 엔진값</x:v>
      </x:c>
      <x:c r="C23" s="74" t="b">
        <x:f>ABS(C21-C22)&lt;0.0000001</x:f>
        <x:v>1</x:v>
      </x:c>
    </x:row>
    <x:row r="24">
      <x:c r="A24" t="str">
        <x:v>확률가중 가치 재계산</x:v>
      </x:c>
      <x:c r="B24" t="str">
        <x:v>SUMPRODUCT(확률, 시나리오 적정주가)</x:v>
      </x:c>
      <x:c r="C24" s="74" t="n">
        <x:f>SUMPRODUCT('05_Valuation'!B4:B7,'05_Valuation'!N4:N7)</x:f>
        <x:v>291802.6044370891</x:v>
      </x:c>
    </x:row>
    <x:row r="25">
      <x:c r="A25" t="str">
        <x:v>확률가중 가치 엔진값</x:v>
      </x:c>
      <x:c r="B25" t="str">
        <x:v>Valuation B12</x:v>
      </x:c>
      <x:c r="C25" s="74" t="n">
        <x:f>'05_Valuation'!B12</x:f>
        <x:v>291802.6044370891</x:v>
      </x:c>
    </x:row>
    <x:row r="26">
      <x:c r="A26" t="str">
        <x:v>확률가중 일치 여부</x:v>
      </x:c>
      <x:c r="B26" t="str">
        <x:v>재계산값 = 엔진값</x:v>
      </x:c>
      <x:c r="C26" t="b">
        <x:f>ABS(C24-C25)&lt;0.01</x:f>
        <x:v>1</x:v>
      </x:c>
    </x:row>
  </x:sheetData>
  <x:mergeCells>
    <x:mergeCell ref="A1:F1"/>
    <x:mergeCell ref="A15:F15"/>
  </x:mergeCells>
  <x:conditionalFormatting sqref="C19:C19">
    <x:cfRule type="expression" dxfId="2" priority="1">
      <x:formula>C19=TRUE</x:formula>
    </x:cfRule>
  </x:conditionalFormatting>
  <x:conditionalFormatting sqref="C22:C22">
    <x:cfRule type="expression" dxfId="3" priority="2">
      <x:formula>C22=TRUE</x:formula>
    </x:cfRule>
  </x:conditionalFormatting>
  <x:conditionalFormatting sqref="C25:C25">
    <x:cfRule type="expression" dxfId="4" priority="3">
      <x:formula>C25=TRUE</x:formula>
    </x:cfRule>
  </x:conditionalFormatting>
  <x:conditionalFormatting sqref="C20:C20">
    <x:cfRule type="expression" dxfId="5" priority="4">
      <x:formula>C20=TRUE</x:formula>
    </x:cfRule>
    <x:cfRule type="expression" dxfId="6" priority="5">
      <x:formula>C20=FALSE</x:formula>
    </x:cfRule>
  </x:conditionalFormatting>
  <x:conditionalFormatting sqref="C23:C23">
    <x:cfRule type="expression" dxfId="7" priority="6">
      <x:formula>C23=TRUE</x:formula>
    </x:cfRule>
    <x:cfRule type="expression" dxfId="8" priority="7">
      <x:formula>C23=FALSE</x:formula>
    </x:cfRule>
  </x:conditionalFormatting>
  <x:conditionalFormatting sqref="C26:C26">
    <x:cfRule type="expression" dxfId="9" priority="8">
      <x:formula>C26=TRUE</x:formula>
    </x:cfRule>
    <x:cfRule type="expression" dxfId="10" priority="9">
      <x:formula>C26=FALSE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6" hidden="0" customWidth="1"/>
    <x:col min="4" max="4" width="34" hidden="0" customWidth="1"/>
    <x:col min="5" max="5" width="42" hidden="0" customWidth="1"/>
    <x:col min="6" max="6" width="40" hidden="0" customWidth="1"/>
  </x:cols>
  <x:sheetData>
    <x:row r="1">
      <x:c r="A1" s="162" t="str">
        <x:v>ChatGPT 운영 규칙 — 이 파일을 OCI홀딩스 밸류에이션의 기준 엔진으로 사용</x:v>
      </x:c>
      <x:c r="B1" s="162"/>
      <x:c r="C1" s="162"/>
      <x:c r="D1" s="162"/>
      <x:c r="E1" s="162"/>
      <x:c r="F1" s="162"/>
    </x:row>
    <x:row r="3">
      <x:c r="A3" s="164" t="str">
        <x:v>순서</x:v>
      </x:c>
      <x:c r="B3" s="164" t="str">
        <x:v>작업</x:v>
      </x:c>
      <x:c r="C3" s="164" t="str">
        <x:v>수정 가능 시트</x:v>
      </x:c>
      <x:c r="D3" s="164" t="str">
        <x:v>변경 조건</x:v>
      </x:c>
      <x:c r="E3" s="164" t="str">
        <x:v>반드시 확인할 것</x:v>
      </x:c>
      <x:c r="F3" s="164" t="str">
        <x:v>금지사항</x:v>
      </x:c>
    </x:row>
    <x:row r="4">
      <x:c r="A4" s="19" t="n">
        <x:v>1</x:v>
      </x:c>
      <x:c r="B4" s="19" t="str">
        <x:v>최신 사실 갱신</x:v>
      </x:c>
      <x:c r="C4" s="19" t="str">
        <x:v>01_Facts</x:v>
      </x:c>
      <x:c r="D4" s="19" t="str">
        <x:v>실적/공시/주가 갱신</x:v>
      </x:c>
      <x:c r="E4" s="19" t="str">
        <x:v>기준일·출처 URL</x:v>
      </x:c>
      <x:c r="F4" s="19" t="str">
        <x:v>예상치를 실적값으로 입력 금지</x:v>
      </x:c>
    </x:row>
    <x:row r="5">
      <x:c r="A5" s="19" t="n">
        <x:v>2</x:v>
      </x:c>
      <x:c r="B5" s="19" t="str">
        <x:v>회사 계획 갱신</x:v>
      </x:c>
      <x:c r="C5" s="19" t="str">
        <x:v>02_Company_Plan</x:v>
      </x:c>
      <x:c r="D5" s="19" t="str">
        <x:v>새 IR/공식 발표</x:v>
      </x:c>
      <x:c r="E5" s="19" t="str">
        <x:v>기존 계획 대비 변경점</x:v>
      </x:c>
      <x:c r="F5" s="19" t="str">
        <x:v>회사 계획을 실현값으로 승격 금지</x:v>
      </x:c>
    </x:row>
    <x:row r="6">
      <x:c r="A6" s="19" t="n">
        <x:v>3</x:v>
      </x:c>
      <x:c r="B6" s="19" t="str">
        <x:v>정책 확인</x:v>
      </x:c>
      <x:c r="C6" s="19" t="str">
        <x:v>03_Model_Assumptions의 MIP 및 06_Catalyst</x:v>
      </x:c>
      <x:c r="D6" s="19" t="str">
        <x:v>미국 정책 원문 변경</x:v>
      </x:c>
      <x:c r="E6" s="19" t="str">
        <x:v>시행일·적용범위·예외</x:v>
      </x:c>
      <x:c r="F6" s="19" t="str">
        <x:v>MIP를 OCI ASP로 대입 금지</x:v>
      </x:c>
    </x:row>
    <x:row r="7">
      <x:c r="A7" s="19" t="n">
        <x:v>4</x:v>
      </x:c>
      <x:c r="B7" s="19" t="str">
        <x:v>가정 변경 판단</x:v>
      </x:c>
      <x:c r="C7" s="19" t="str">
        <x:v>03_Model_Assumptions</x:v>
      </x:c>
      <x:c r="D7" s="19" t="str">
        <x:v>검증 이벤트 발생 시</x:v>
      </x:c>
      <x:c r="E7" s="19" t="str">
        <x:v>ASP·흑자·LTA·선수금·EBITDA/W</x:v>
      </x:c>
      <x:c r="F7" s="19" t="str">
        <x:v>현재주가를 보고 가정을 역산 금지</x:v>
      </x:c>
    </x:row>
    <x:row r="8">
      <x:c r="A8" s="19" t="n">
        <x:v>5</x:v>
      </x:c>
      <x:c r="B8" s="19" t="str">
        <x:v>엔진 검산</x:v>
      </x:c>
      <x:c r="C8" s="19" t="str">
        <x:v>09_Formula_Audit</x:v>
      </x:c>
      <x:c r="D8" s="19" t="str">
        <x:v>모든 업데이트 후</x:v>
      </x:c>
      <x:c r="E8" s="19" t="str">
        <x:v>PASS 여부·수식 오류 0건</x:v>
      </x:c>
      <x:c r="F8" s="19" t="str">
        <x:v>FAIL 상태로 결론 제시 금지</x:v>
      </x:c>
    </x:row>
    <x:row r="9">
      <x:c r="A9" s="19" t="n">
        <x:v>6</x:v>
      </x:c>
      <x:c r="B9" s="19" t="str">
        <x:v>기업가치 출력</x:v>
      </x:c>
      <x:c r="C9" s="19" t="str">
        <x:v>05_Valuation / 08_Dashboard</x:v>
      </x:c>
      <x:c r="D9" s="19" t="str">
        <x:v>검산 완료 후</x:v>
      </x:c>
      <x:c r="E9" s="19" t="str">
        <x:v>Core/Base/Bull/확률가중</x:v>
      </x:c>
      <x:c r="F9" s="19" t="str">
        <x:v>한 숫자를 '정답'처럼 표현 금지</x:v>
      </x:c>
    </x:row>
    <x:row r="10">
      <x:c r="A10" s="19" t="n">
        <x:v>7</x:v>
      </x:c>
      <x:c r="B10" s="19" t="str">
        <x:v>변경 로그</x:v>
      </x:c>
      <x:c r="C10" s="19" t="str">
        <x:v>07_Source_Audit</x:v>
      </x:c>
      <x:c r="D10" s="19" t="str">
        <x:v>가정·정책·사실 변경 시</x:v>
      </x:c>
      <x:c r="E10" s="19" t="str">
        <x:v>이전값/새값/근거/가치영향</x:v>
      </x:c>
      <x:c r="F10" s="19" t="str">
        <x:v>근거 없는 값 변경 금지</x:v>
      </x:c>
    </x:row>
    <x:row r="12">
      <x:c r="A12" s="159" t="str">
        <x:v>사용자가 'OCI 밸류 갱신'이라고 하면 ChatGPT가 수행할 표준 프로토콜</x:v>
      </x:c>
      <x:c r="B12" s="159"/>
      <x:c r="C12" s="159"/>
      <x:c r="D12" s="159"/>
      <x:c r="E12" s="159"/>
      <x:c r="F12" s="159"/>
    </x:row>
    <x:row r="13">
      <x:c r="A13" s="19" t="str">
        <x:v>STEP 1</x:v>
      </x:c>
      <x:c r="B13" s="19" t="str">
        <x:v>이 파일을 기준 모델로 불러온다.</x:v>
      </x:c>
    </x:row>
    <x:row r="14">
      <x:c r="A14" s="19" t="str">
        <x:v>STEP 2</x:v>
      </x:c>
      <x:c r="B14" s="19" t="str">
        <x:v>최신 OCI 공식 IR·공시·미국정책을 검색하고 01/02 시트를 먼저 갱신한다.</x:v>
      </x:c>
    </x:row>
    <x:row r="15">
      <x:c r="A15" s="19" t="str">
        <x:v>STEP 3</x:v>
      </x:c>
      <x:c r="B15" s="19" t="str">
        <x:v>검증 이벤트가 없으면 모델 가정을 임의로 변경하지 않는다.</x:v>
      </x:c>
    </x:row>
    <x:row r="16">
      <x:c r="A16" s="19" t="str">
        <x:v>STEP 4</x:v>
      </x:c>
      <x:c r="B16" s="19" t="str">
        <x:v>새 정보가 가정을 바꿀 정도면 03 시트 변경 전후 값과 근거를 07 시트에 기록한다.</x:v>
      </x:c>
    </x:row>
    <x:row r="17">
      <x:c r="A17" s="19" t="str">
        <x:v>STEP 5</x:v>
      </x:c>
      <x:c r="B17" s="19" t="str">
        <x:v>09 Formula Audit의 모든 핵심 체크가 PASS인지 확인한다.</x:v>
      </x:c>
    </x:row>
    <x:row r="18">
      <x:c r="A18" s="19" t="str">
        <x:v>STEP 6</x:v>
      </x:c>
      <x:c r="B18" s="19" t="str">
        <x:v>05 Valuation의 시나리오별 가치와 미래가치 확률반영 값을 출력한다.</x:v>
      </x:c>
    </x:row>
    <x:row r="19">
      <x:c r="A19" s="19" t="str">
        <x:v>STEP 7</x:v>
      </x:c>
      <x:c r="B19" s="19" t="str">
        <x:v>현재주가는 마지막에만 비교한다. 가치 산식에는 절대 넣지 않는다.</x:v>
      </x:c>
    </x:row>
    <x:row r="20">
      <x:c r="A20" s="19" t="str">
        <x:v>STEP 8</x:v>
      </x:c>
      <x:c r="B20" s="19" t="str">
        <x:v>결론에는 무엇이 실현값/회사계획/가정인지 구분하고 다음 검증 이벤트를 적는다.</x:v>
      </x:c>
    </x:row>
    <x:row r="22">
      <x:c r="A22" s="167" t="str">
        <x:v>핵심 문장: '가격이 가정을 만들지 않는다. 검증된 사실과 미래가치 확률이 가격과 비교된다.'</x:v>
      </x:c>
      <x:c r="B22" s="167"/>
      <x:c r="C22" s="167"/>
      <x:c r="D22" s="167"/>
      <x:c r="E22" s="167"/>
      <x:c r="F22" s="167"/>
    </x:row>
  </x:sheetData>
  <x:mergeCells>
    <x:mergeCell ref="A1:F1"/>
    <x:mergeCell ref="A12:F12"/>
    <x:mergeCell ref="A22:F22"/>
  </x:mergeCells>
  <x:pageMargins left="0.7" right="0.7" top="0.75" bottom="0.75" header="0.3" footer="0.3"/>
</x:worksheet>
</file>